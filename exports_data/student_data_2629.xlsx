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HFINDER\Desktop\"/>
    </mc:Choice>
  </mc:AlternateContent>
  <bookViews>
    <workbookView xWindow="0" yWindow="0" windowWidth="20490" windowHeight="7650"/>
  </bookViews>
  <sheets>
    <sheet name="data" sheetId="1" r:id="rId1"/>
  </sheets>
  <calcPr calcId="162913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2" i="1"/>
</calcChain>
</file>

<file path=xl/sharedStrings.xml><?xml version="1.0" encoding="utf-8"?>
<sst xmlns="http://schemas.openxmlformats.org/spreadsheetml/2006/main" count="1759" uniqueCount="806">
  <si>
    <t>Sr No.</t>
  </si>
  <si>
    <t>Admission Date</t>
  </si>
  <si>
    <t>Enroll No</t>
  </si>
  <si>
    <t>Phone</t>
  </si>
  <si>
    <t>email</t>
  </si>
  <si>
    <t>dob</t>
  </si>
  <si>
    <t>Student Name</t>
  </si>
  <si>
    <t>Commited Amount</t>
  </si>
  <si>
    <t>Admission Amount</t>
  </si>
  <si>
    <t>Installment Amount</t>
  </si>
  <si>
    <t>Total Amount Paid Till Date</t>
  </si>
  <si>
    <t>Total Due as on Date</t>
  </si>
  <si>
    <t>Course Name</t>
  </si>
  <si>
    <t>Session</t>
  </si>
  <si>
    <t>Centre</t>
  </si>
  <si>
    <t>Admitted By</t>
  </si>
  <si>
    <t>Gender</t>
  </si>
  <si>
    <t>Board</t>
  </si>
  <si>
    <t>School</t>
  </si>
  <si>
    <t>Pincode</t>
  </si>
  <si>
    <t>Guardians Email Address</t>
  </si>
  <si>
    <t>Guardians Mobile Number</t>
  </si>
  <si>
    <t>Guardians Name</t>
  </si>
  <si>
    <t>Guardians Occupation</t>
  </si>
  <si>
    <t>Guardians Qualification</t>
  </si>
  <si>
    <t>31/10/2024</t>
  </si>
  <si>
    <t>PATH24009522</t>
  </si>
  <si>
    <t>7003635723</t>
  </si>
  <si>
    <t>rajibghosh79@gmail.com</t>
  </si>
  <si>
    <t>2011-04-24</t>
  </si>
  <si>
    <t>rashimalya ghosh</t>
  </si>
  <si>
    <t>JEE+FOUNDATION (X+XI+XII) 3 Years 2026-2029</t>
  </si>
  <si>
    <t>2026-2029</t>
  </si>
  <si>
    <t>CHANDANNAGAR</t>
  </si>
  <si>
    <t>Chandan Nagar CI</t>
  </si>
  <si>
    <t>Male</t>
  </si>
  <si>
    <t>CBSE</t>
  </si>
  <si>
    <t>techno india mankundu</t>
  </si>
  <si>
    <t>712139</t>
  </si>
  <si>
    <t>Rajib ghosh</t>
  </si>
  <si>
    <t>Service</t>
  </si>
  <si>
    <t>3</t>
  </si>
  <si>
    <t>27/4/2025</t>
  </si>
  <si>
    <t>PATH24011062</t>
  </si>
  <si>
    <t>9883211202</t>
  </si>
  <si>
    <t>bibhas78karar@gmail.com</t>
  </si>
  <si>
    <t>2010-05-14</t>
  </si>
  <si>
    <t>DEEPANJAN KARAR</t>
  </si>
  <si>
    <t>NEET+FOUNDATION (FND+OLYMPIAD+NTSE) 3Years 2026-2029</t>
  </si>
  <si>
    <t>HAZRA H.O</t>
  </si>
  <si>
    <t>Santwana Saha</t>
  </si>
  <si>
    <t>ICSE</t>
  </si>
  <si>
    <t>JULIEN DAY</t>
  </si>
  <si>
    <t>7111104</t>
  </si>
  <si>
    <t/>
  </si>
  <si>
    <t>BIBHAS KARAR</t>
  </si>
  <si>
    <t>27/7/2025</t>
  </si>
  <si>
    <t>PATH25001941</t>
  </si>
  <si>
    <t>9819440328</t>
  </si>
  <si>
    <t>riddhichatterjee13@gmail.com</t>
  </si>
  <si>
    <t>2001-07-11</t>
  </si>
  <si>
    <t>AARAV CHATTERJEE</t>
  </si>
  <si>
    <t>JEE+FOUNDATION (FND+OLYMPIAD+NTSE) 3Years 2026-2029</t>
  </si>
  <si>
    <t>JODHPUR PARK</t>
  </si>
  <si>
    <t>SUVASHIS BANERJEE CI</t>
  </si>
  <si>
    <t>B.D.M. INTERNATIONAL</t>
  </si>
  <si>
    <t>700032</t>
  </si>
  <si>
    <t>MOUSUMI CHATTERJEE</t>
  </si>
  <si>
    <t>22/8/2025</t>
  </si>
  <si>
    <t>PATH24008666</t>
  </si>
  <si>
    <t>9051501138</t>
  </si>
  <si>
    <t>SENGUPTASHREYA@GMAIL.COM</t>
  </si>
  <si>
    <t>2011-01-01</t>
  </si>
  <si>
    <t>ARSHEYA DASGUPTA</t>
  </si>
  <si>
    <t>Foundation Outstation Class (X+XI+XII) 3Years 2026-2029</t>
  </si>
  <si>
    <t>BARASAT</t>
  </si>
  <si>
    <t>Ashis Sarkar ME</t>
  </si>
  <si>
    <t>Female</t>
  </si>
  <si>
    <t>ST CLARET SCHOOL</t>
  </si>
  <si>
    <t>ARINDAM DASGUPTA</t>
  </si>
  <si>
    <t>29/8/2025</t>
  </si>
  <si>
    <t>PATH24004770</t>
  </si>
  <si>
    <t>8420079707</t>
  </si>
  <si>
    <t>samirkumarmandal008@gmail.com</t>
  </si>
  <si>
    <t>2012-10-03</t>
  </si>
  <si>
    <t>ISHAN MONDAL</t>
  </si>
  <si>
    <t>Foundation Instation Class (VIII+IX+X) 3Years 2026-2029</t>
  </si>
  <si>
    <t>Sangita Chatterjee</t>
  </si>
  <si>
    <t>SARADA EDUCARE</t>
  </si>
  <si>
    <t>700039</t>
  </si>
  <si>
    <t>918420079707</t>
  </si>
  <si>
    <t>SAMIR KUMAR MONDAL</t>
  </si>
  <si>
    <t>1/9/2025</t>
  </si>
  <si>
    <t>PATH25008443</t>
  </si>
  <si>
    <t>8001984002</t>
  </si>
  <si>
    <t>somnath79sp@gmail.com</t>
  </si>
  <si>
    <t>2012-07-20</t>
  </si>
  <si>
    <t>SAYAM PAUL</t>
  </si>
  <si>
    <t>Foundation Outstation Class (VIII+IX+X) 3Years 2026-2029</t>
  </si>
  <si>
    <t>KTPP TOWNSHIP</t>
  </si>
  <si>
    <t>KTPP Township Pathfinder CI</t>
  </si>
  <si>
    <t>WB</t>
  </si>
  <si>
    <t>K.T.P.P HIGH SCHOOL</t>
  </si>
  <si>
    <t>712121</t>
  </si>
  <si>
    <t>SOMNATH PAUL</t>
  </si>
  <si>
    <t>7/9/2025</t>
  </si>
  <si>
    <t>PATH25000699</t>
  </si>
  <si>
    <t>8653988192</t>
  </si>
  <si>
    <t>SMRIT4I78@GMAIL.COM</t>
  </si>
  <si>
    <t>2012-08-16</t>
  </si>
  <si>
    <t>SMRITI MONDAL</t>
  </si>
  <si>
    <t>Foundation outstation Class (VIII+IX+X)3Years 2026-2029</t>
  </si>
  <si>
    <t>MIDNAPORE</t>
  </si>
  <si>
    <t>Midnapore Pathfinder CI</t>
  </si>
  <si>
    <t>7477370363</t>
  </si>
  <si>
    <t>9/9/2025</t>
  </si>
  <si>
    <t>PATH25010563</t>
  </si>
  <si>
    <t>9851875381</t>
  </si>
  <si>
    <t>ankit.jana@exam.com</t>
  </si>
  <si>
    <t>2010-11-20</t>
  </si>
  <si>
    <t>ANKIT JANA</t>
  </si>
  <si>
    <t>DUMDUM</t>
  </si>
  <si>
    <t>RAJIB KUNDU CI</t>
  </si>
  <si>
    <t>sodepur high</t>
  </si>
  <si>
    <t>700110</t>
  </si>
  <si>
    <t>GOPAL KRISHNA JANA</t>
  </si>
  <si>
    <t>14/9/2025</t>
  </si>
  <si>
    <t>PATH25012668</t>
  </si>
  <si>
    <t>7318676956</t>
  </si>
  <si>
    <t>arnabpalfnd8@gmail.com</t>
  </si>
  <si>
    <t>2012-09-03</t>
  </si>
  <si>
    <t>ARNAB PAL</t>
  </si>
  <si>
    <t>Foundation Instation Class (VIII+IX+X)3Years 2026-2029</t>
  </si>
  <si>
    <t>BURDWAN</t>
  </si>
  <si>
    <t>Sudarsan Bhattacharya</t>
  </si>
  <si>
    <t>BURDWAN MUNICIPAL HIGH SCHOOL</t>
  </si>
  <si>
    <t>7003034505</t>
  </si>
  <si>
    <t>KOUSHIK PAL</t>
  </si>
  <si>
    <t>PATH24010225</t>
  </si>
  <si>
    <t>6296588611</t>
  </si>
  <si>
    <t>nobomaity02@gmail.com</t>
  </si>
  <si>
    <t>2013-02-06</t>
  </si>
  <si>
    <t>PRADIP MAITY</t>
  </si>
  <si>
    <t>TAMLUK</t>
  </si>
  <si>
    <t>SIBENDU JANA AM</t>
  </si>
  <si>
    <t>BHAGWANPUR HIGH SCHOOL</t>
  </si>
  <si>
    <t>721601</t>
  </si>
  <si>
    <t>NABA KUMAR MAITY</t>
  </si>
  <si>
    <t>19/9/2025</t>
  </si>
  <si>
    <t>PATH24008923</t>
  </si>
  <si>
    <t>7029206128</t>
  </si>
  <si>
    <t>jhumatung4361@gmail.com</t>
  </si>
  <si>
    <t>2009-06-02</t>
  </si>
  <si>
    <t>ARITRA TUNG</t>
  </si>
  <si>
    <t>ARAMBAGH</t>
  </si>
  <si>
    <t>PIRUMOHAN CHAKRABORTY CI</t>
  </si>
  <si>
    <t>ARAMBAGH HIGH SCHOOL</t>
  </si>
  <si>
    <t>271212</t>
  </si>
  <si>
    <t>6294397730</t>
  </si>
  <si>
    <t>SANKAR CHANDRA TUNG</t>
  </si>
  <si>
    <t>21/9/2025</t>
  </si>
  <si>
    <t>PATH25016850</t>
  </si>
  <si>
    <t>82500614245</t>
  </si>
  <si>
    <t>SOUMITA26@GMAIL.COM</t>
  </si>
  <si>
    <t>2012-05-23</t>
  </si>
  <si>
    <t>SOUMITA DUTTA</t>
  </si>
  <si>
    <t>TAPOJOY GUCHHAIT CI</t>
  </si>
  <si>
    <t>HOOMGARH GIRLS HS</t>
  </si>
  <si>
    <t>721157</t>
  </si>
  <si>
    <t>RAGHUNATH DUTTA</t>
  </si>
  <si>
    <t>PATH25002574</t>
  </si>
  <si>
    <t>6295695146</t>
  </si>
  <si>
    <t>kalikinkarban2@gmail.com</t>
  </si>
  <si>
    <t>2012-10-28</t>
  </si>
  <si>
    <t>DEBOPRIYA BANERJEE</t>
  </si>
  <si>
    <t>Burdwan Pathfinder CI</t>
  </si>
  <si>
    <t>HARISAVA HINDU GIRLS SCHOOL</t>
  </si>
  <si>
    <t>713104</t>
  </si>
  <si>
    <t>9134394316</t>
  </si>
  <si>
    <t>KALIKINKAR BANERJEE</t>
  </si>
  <si>
    <t>PATH25000664</t>
  </si>
  <si>
    <t>8918253881</t>
  </si>
  <si>
    <t>tamalbanerjee17@gmail.com</t>
  </si>
  <si>
    <t>2012-03-11</t>
  </si>
  <si>
    <t>PRITAM BANERJEE</t>
  </si>
  <si>
    <t>BALLY</t>
  </si>
  <si>
    <t>RACHITA SAMADDAR ACI</t>
  </si>
  <si>
    <t>PATH25001177</t>
  </si>
  <si>
    <t>9038001431</t>
  </si>
  <si>
    <t>subratanewblock@gmail.com</t>
  </si>
  <si>
    <t>2012-11-24</t>
  </si>
  <si>
    <t>SOMBRATA MONDAL</t>
  </si>
  <si>
    <t>MANAS RAY CI</t>
  </si>
  <si>
    <t>HM EDUCATION CENTRE</t>
  </si>
  <si>
    <t>711201</t>
  </si>
  <si>
    <t>SUBRATA MONDAL</t>
  </si>
  <si>
    <t>PATH25000866</t>
  </si>
  <si>
    <t>9732922379</t>
  </si>
  <si>
    <t>DIVYANSHU88@GMAIL.COM</t>
  </si>
  <si>
    <t>2012-11-11</t>
  </si>
  <si>
    <t>DIVYANSHU KHATUA</t>
  </si>
  <si>
    <t>DAV</t>
  </si>
  <si>
    <t>721101</t>
  </si>
  <si>
    <t>DEBABRATA KHATUA</t>
  </si>
  <si>
    <t>12/10/2025</t>
  </si>
  <si>
    <t>PATH25000145</t>
  </si>
  <si>
    <t>9163298471</t>
  </si>
  <si>
    <t>daskalyani683@gmail.com</t>
  </si>
  <si>
    <t>2022-08-17</t>
  </si>
  <si>
    <t>PALLABI DAS</t>
  </si>
  <si>
    <t>SERAMPORE RAMESH CHANDRA GIRLS HIGH SCHOOL</t>
  </si>
  <si>
    <t>712222</t>
  </si>
  <si>
    <t>6290441460</t>
  </si>
  <si>
    <t>BIPLAB DAS</t>
  </si>
  <si>
    <t>2</t>
  </si>
  <si>
    <t>PATH25000103</t>
  </si>
  <si>
    <t>6294515183</t>
  </si>
  <si>
    <t>sayanghosh200@gmail.com</t>
  </si>
  <si>
    <t>2012-07-28</t>
  </si>
  <si>
    <t>SAYAN GHOSH</t>
  </si>
  <si>
    <t>SISHU TIRTHA HIGH SCHOOL</t>
  </si>
  <si>
    <t>712306</t>
  </si>
  <si>
    <t>PRABIR KUMAR GHOSH</t>
  </si>
  <si>
    <t>PATH24007925</t>
  </si>
  <si>
    <t>9748881503</t>
  </si>
  <si>
    <t>prithadey2012@gmail.com</t>
  </si>
  <si>
    <t>2012-03-30</t>
  </si>
  <si>
    <t>PRITHA DEY</t>
  </si>
  <si>
    <t>PATH25000440</t>
  </si>
  <si>
    <t>7003253495</t>
  </si>
  <si>
    <t>monojit.hit@gmail.com</t>
  </si>
  <si>
    <t>0012-09-01</t>
  </si>
  <si>
    <t>SUBHAM DAS</t>
  </si>
  <si>
    <t>PATHA VABAN DANKUNI</t>
  </si>
  <si>
    <t>712409</t>
  </si>
  <si>
    <t>MRS DEBASHRI DAS</t>
  </si>
  <si>
    <t>PATH25019459</t>
  </si>
  <si>
    <t>9932455799</t>
  </si>
  <si>
    <t>anadihalder8@gmail.com</t>
  </si>
  <si>
    <t>2012-09-25</t>
  </si>
  <si>
    <t>ANADI HALDER</t>
  </si>
  <si>
    <t>MEMARI CRYSTAL MODEL SCHOOL</t>
  </si>
  <si>
    <t>713146</t>
  </si>
  <si>
    <t>7318662110</t>
  </si>
  <si>
    <t>BIKASH HALDER</t>
  </si>
  <si>
    <t>13/10/2025</t>
  </si>
  <si>
    <t>PATH25000341</t>
  </si>
  <si>
    <t>9163866764</t>
  </si>
  <si>
    <t>soupamghosh2010@gmail.com</t>
  </si>
  <si>
    <t>2013-03-10</t>
  </si>
  <si>
    <t>SOUPAM GHOSH</t>
  </si>
  <si>
    <t>BERABERI SNM HIGH SCHOOL</t>
  </si>
  <si>
    <t>712407</t>
  </si>
  <si>
    <t>PALASH GHOSH</t>
  </si>
  <si>
    <t>PATH25000592</t>
  </si>
  <si>
    <t>7908783358</t>
  </si>
  <si>
    <t>koleytumpa07@gmail.com</t>
  </si>
  <si>
    <t>2012-07-25</t>
  </si>
  <si>
    <t>ANISH KOLEY</t>
  </si>
  <si>
    <t>SINGUR MAHAMAYA HIGH SCHOOL</t>
  </si>
  <si>
    <t>9163852413</t>
  </si>
  <si>
    <t>KAMALESH KOLEY</t>
  </si>
  <si>
    <t>Business</t>
  </si>
  <si>
    <t>19/10/2025</t>
  </si>
  <si>
    <t>PATH24007920</t>
  </si>
  <si>
    <t>8910656723</t>
  </si>
  <si>
    <t>soniainstru.saha@gmail.com</t>
  </si>
  <si>
    <t>20013-01-08</t>
  </si>
  <si>
    <t>ANKANA SAHA</t>
  </si>
  <si>
    <t>VISION INTERNATIONAL</t>
  </si>
  <si>
    <t>711227</t>
  </si>
  <si>
    <t>PATH24007921</t>
  </si>
  <si>
    <t>9231857738</t>
  </si>
  <si>
    <t>itsnandita06@gmail.com</t>
  </si>
  <si>
    <t>2012-06-26</t>
  </si>
  <si>
    <t>AARADHYA SAHA</t>
  </si>
  <si>
    <t>PATH25000317</t>
  </si>
  <si>
    <t>8017542366</t>
  </si>
  <si>
    <t>rana8902440239@gmail.com</t>
  </si>
  <si>
    <t>2012-06-17</t>
  </si>
  <si>
    <t>RITOI SAMANTA</t>
  </si>
  <si>
    <t>PATHABHAVAN DANKUNI</t>
  </si>
  <si>
    <t>712304</t>
  </si>
  <si>
    <t>8902440238</t>
  </si>
  <si>
    <t>ARUPJYOTI SAMANTA</t>
  </si>
  <si>
    <t>PATH25000318</t>
  </si>
  <si>
    <t>9062390811</t>
  </si>
  <si>
    <t>tuhinaporey@gmail.com</t>
  </si>
  <si>
    <t>2012-04-19</t>
  </si>
  <si>
    <t>TEJAS POREY</t>
  </si>
  <si>
    <t>A.C ROY HIGH SCHOOL, ANANDANAGAR</t>
  </si>
  <si>
    <t>712403</t>
  </si>
  <si>
    <t>7003441282</t>
  </si>
  <si>
    <t>TUHINA POREY</t>
  </si>
  <si>
    <t>PATH25000077</t>
  </si>
  <si>
    <t>8167593657</t>
  </si>
  <si>
    <t>kalipadapatra65@gmail.com</t>
  </si>
  <si>
    <t>2012-01-23</t>
  </si>
  <si>
    <t>Imon Patra</t>
  </si>
  <si>
    <t>KHARAGPUR</t>
  </si>
  <si>
    <t>Kharaghpur Pathfinder CI</t>
  </si>
  <si>
    <t>Atulmoni Politechenic High School</t>
  </si>
  <si>
    <t>721301</t>
  </si>
  <si>
    <t>7431841255</t>
  </si>
  <si>
    <t>Kalipada Patra</t>
  </si>
  <si>
    <t>1</t>
  </si>
  <si>
    <t>26/10/2025</t>
  </si>
  <si>
    <t>PATH24010024</t>
  </si>
  <si>
    <t>8617449457</t>
  </si>
  <si>
    <t>bmallik2000@gmail.com</t>
  </si>
  <si>
    <t>2012-03-06</t>
  </si>
  <si>
    <t>SUBHAMAY MALIK</t>
  </si>
  <si>
    <t>VIVEKANANDA MODEL SCHOOL</t>
  </si>
  <si>
    <t>722205</t>
  </si>
  <si>
    <t>BANGSHI BADAN MALIK</t>
  </si>
  <si>
    <t>27/10/2025</t>
  </si>
  <si>
    <t>PATH24009615</t>
  </si>
  <si>
    <t>9339065477</t>
  </si>
  <si>
    <t>monallovely657@gmail.com</t>
  </si>
  <si>
    <t>2012-09-06</t>
  </si>
  <si>
    <t>SIMRAN SK</t>
  </si>
  <si>
    <t>ST PAULS ACADEMY</t>
  </si>
  <si>
    <t>713103</t>
  </si>
  <si>
    <t>RAHAMATULLA SK</t>
  </si>
  <si>
    <t>28/10/2025</t>
  </si>
  <si>
    <t>PATH25021561</t>
  </si>
  <si>
    <t>9749150498</t>
  </si>
  <si>
    <t>jaysshreesamadder@gmail.com</t>
  </si>
  <si>
    <t>2012-11-08</t>
  </si>
  <si>
    <t>JAYJEET SAMADDER</t>
  </si>
  <si>
    <t>HABRA</t>
  </si>
  <si>
    <t>Habra Pathfinder CI</t>
  </si>
  <si>
    <t>dakshin chatra high sschool</t>
  </si>
  <si>
    <t>743247</t>
  </si>
  <si>
    <t>JAHAR SAMADDER</t>
  </si>
  <si>
    <t>29/10/2025</t>
  </si>
  <si>
    <t>PATH25021590</t>
  </si>
  <si>
    <t>9382521811</t>
  </si>
  <si>
    <t>MANDALRISHIJA85219@GMAIL.COM</t>
  </si>
  <si>
    <t>2012-12-05</t>
  </si>
  <si>
    <t>RISHIJA MANDAL</t>
  </si>
  <si>
    <t>MARRY IMMACULATE ICSE</t>
  </si>
  <si>
    <t>6297571747</t>
  </si>
  <si>
    <t>PATH24009029</t>
  </si>
  <si>
    <t>6295715542</t>
  </si>
  <si>
    <t>subrataballov197@gmail.com</t>
  </si>
  <si>
    <t>2012-02-03</t>
  </si>
  <si>
    <t>SRIJA BALLOV</t>
  </si>
  <si>
    <t>CHANDPARA BALIKA VIDYALAYA</t>
  </si>
  <si>
    <t>743245</t>
  </si>
  <si>
    <t>SUBRATA BALLOV</t>
  </si>
  <si>
    <t>31/10/2025</t>
  </si>
  <si>
    <t>PATH24005163</t>
  </si>
  <si>
    <t>9134657594</t>
  </si>
  <si>
    <t>jesminparvin1988@gmail.com</t>
  </si>
  <si>
    <t>2010-03-24</t>
  </si>
  <si>
    <t>SK TOUFICK UDDIN</t>
  </si>
  <si>
    <t>memari vm institution unit-1</t>
  </si>
  <si>
    <t>SK RIAJUDDIN</t>
  </si>
  <si>
    <t>PATH25000290</t>
  </si>
  <si>
    <t>9734503777</t>
  </si>
  <si>
    <t>asish.ee@gmail.com</t>
  </si>
  <si>
    <t>2012-12-18</t>
  </si>
  <si>
    <t>ATREYA MANDAL</t>
  </si>
  <si>
    <t>Rajesh Das ZM</t>
  </si>
  <si>
    <t>KTPP HIGH SCHOOL</t>
  </si>
  <si>
    <t>721134</t>
  </si>
  <si>
    <t>ASISHTARU MANDAL</t>
  </si>
  <si>
    <t>2/11/2025</t>
  </si>
  <si>
    <t>PATH24005425</t>
  </si>
  <si>
    <t>9734286203</t>
  </si>
  <si>
    <t>srimantadas1978@gmail.com</t>
  </si>
  <si>
    <t>2010-05-17</t>
  </si>
  <si>
    <t>SRIMAY DAS</t>
  </si>
  <si>
    <t>SRIMANTA DAS</t>
  </si>
  <si>
    <t>PATH24008236</t>
  </si>
  <si>
    <t>8250377210</t>
  </si>
  <si>
    <t>deanupam1978@gmail.com</t>
  </si>
  <si>
    <t>2012-09-23</t>
  </si>
  <si>
    <t>ADITI  DE</t>
  </si>
  <si>
    <t>BIDYARTHI BHABAN GIRLS HIGH SCHOOL</t>
  </si>
  <si>
    <t>ANUPAM DE</t>
  </si>
  <si>
    <t>PATH25000767</t>
  </si>
  <si>
    <t>8145357575</t>
  </si>
  <si>
    <t>aisheeguha@gmail.com</t>
  </si>
  <si>
    <t>2012-03-17</t>
  </si>
  <si>
    <t>AISHEE GUHA</t>
  </si>
  <si>
    <t>GURUDHAM SANTASRAM BRAHMANANDA VIDYABHABAN</t>
  </si>
  <si>
    <t>722206</t>
  </si>
  <si>
    <t>UJJWAL GUHA</t>
  </si>
  <si>
    <t>PATH24008653</t>
  </si>
  <si>
    <t>943483165</t>
  </si>
  <si>
    <t>ghosh.debasis1994@gmail.com</t>
  </si>
  <si>
    <t>2012-10-17</t>
  </si>
  <si>
    <t>BAIDEHI GHOSH</t>
  </si>
  <si>
    <t>BURDWAN MUNICIPAL GIRLS HIGH SCHOOL</t>
  </si>
  <si>
    <t>DEBASIS GHOSH</t>
  </si>
  <si>
    <t>6/11/2025</t>
  </si>
  <si>
    <t>PATH25002127</t>
  </si>
  <si>
    <t>8145116638</t>
  </si>
  <si>
    <t>jamaluddinmondalphysics@gmail.com</t>
  </si>
  <si>
    <t>2025-05-09</t>
  </si>
  <si>
    <t xml:space="preserve">AIRIN PARVIN </t>
  </si>
  <si>
    <t xml:space="preserve">BHARATI BALIKA VIDYALAYA </t>
  </si>
  <si>
    <t xml:space="preserve">JAMALUDDIN MONDAL </t>
  </si>
  <si>
    <t>9/11/2025</t>
  </si>
  <si>
    <t>PATH25001091</t>
  </si>
  <si>
    <t>7797192708</t>
  </si>
  <si>
    <t>pratimamandaldas.20@gmail.com</t>
  </si>
  <si>
    <t>2012-10-27</t>
  </si>
  <si>
    <t>ANIRUDDHA DAS</t>
  </si>
  <si>
    <t>AKLAKHI HIGH SCHOOL</t>
  </si>
  <si>
    <t>713427</t>
  </si>
  <si>
    <t>9735158435</t>
  </si>
  <si>
    <t>BIBHAS DAS</t>
  </si>
  <si>
    <t>PATH25022046</t>
  </si>
  <si>
    <t>9734513246</t>
  </si>
  <si>
    <t>GHOSHARITRA8745@GMAIL.COM</t>
  </si>
  <si>
    <t>2015-03-02</t>
  </si>
  <si>
    <t>ARITRA GHOSH</t>
  </si>
  <si>
    <t>MARRY IMMACULATE</t>
  </si>
  <si>
    <t>6297094474</t>
  </si>
  <si>
    <t>10/11/2025</t>
  </si>
  <si>
    <t>PATH25022105</t>
  </si>
  <si>
    <t>9231968671</t>
  </si>
  <si>
    <t>sayashri.malik@gmail.com</t>
  </si>
  <si>
    <t>2010-10-15</t>
  </si>
  <si>
    <t>SAYASHRI MALIK</t>
  </si>
  <si>
    <t>SUBRATA KANGSABANIK CLLR</t>
  </si>
  <si>
    <t>KINKARBATI AGRICULTURAL INST</t>
  </si>
  <si>
    <t>SUBRATA MALIK</t>
  </si>
  <si>
    <t>16/11/2025</t>
  </si>
  <si>
    <t>PATH25022341</t>
  </si>
  <si>
    <t>9836535873</t>
  </si>
  <si>
    <t>tapasghosh6791@gmail.com</t>
  </si>
  <si>
    <t>2012-01-03</t>
  </si>
  <si>
    <t>UTSAB GHOSH</t>
  </si>
  <si>
    <t>PATHVABAN DANKUNI</t>
  </si>
  <si>
    <t>TAPAS GHOSH</t>
  </si>
  <si>
    <t>PATH24010216</t>
  </si>
  <si>
    <t>9434572335</t>
  </si>
  <si>
    <t>siddheswar.mitra@gmail.com</t>
  </si>
  <si>
    <t>2012-05-24</t>
  </si>
  <si>
    <t>SAPTARSHI MITRA</t>
  </si>
  <si>
    <t>kuchut p.c institution</t>
  </si>
  <si>
    <t>713422</t>
  </si>
  <si>
    <t>SIDDHESWAR MITRA</t>
  </si>
  <si>
    <t>PATH24010595</t>
  </si>
  <si>
    <t>9475883626</t>
  </si>
  <si>
    <t>RITISHA44@GMAIL.COM</t>
  </si>
  <si>
    <t>2012-10-19</t>
  </si>
  <si>
    <t>RITISHA MAL</t>
  </si>
  <si>
    <t>NAYABASAT P.M. SIKSHANIKETAN</t>
  </si>
  <si>
    <t>721253</t>
  </si>
  <si>
    <t>9475883616</t>
  </si>
  <si>
    <t>MANAS MAL</t>
  </si>
  <si>
    <t>22/11/2025</t>
  </si>
  <si>
    <t>PATH25006781</t>
  </si>
  <si>
    <t>8768819009</t>
  </si>
  <si>
    <t>bulansarkar1975@gmail.com</t>
  </si>
  <si>
    <t>2012-10-04</t>
  </si>
  <si>
    <t>APARNA SARKAR</t>
  </si>
  <si>
    <t>HARISAVA GIRLS HIGH SCHOOL</t>
  </si>
  <si>
    <t>713145</t>
  </si>
  <si>
    <t>7872557805</t>
  </si>
  <si>
    <t>BULAN SARKAR</t>
  </si>
  <si>
    <t>23/11/2025</t>
  </si>
  <si>
    <t>PATH25009055</t>
  </si>
  <si>
    <t>7319225386</t>
  </si>
  <si>
    <t>mannabarnali214@gmail.com</t>
  </si>
  <si>
    <t>2011-03-18</t>
  </si>
  <si>
    <t>ASIM MANNA</t>
  </si>
  <si>
    <t>CHATRA KUNJARANI BANI BHABAN</t>
  </si>
  <si>
    <t>26/11/2025</t>
  </si>
  <si>
    <t>PATH25022867</t>
  </si>
  <si>
    <t>9733817668</t>
  </si>
  <si>
    <t>KANATSOULIN345@GMAIL.COM</t>
  </si>
  <si>
    <t>2012-02-25</t>
  </si>
  <si>
    <t>SOULIN KANAT</t>
  </si>
  <si>
    <t>NAYAGRAM HS</t>
  </si>
  <si>
    <t>PATH25022891</t>
  </si>
  <si>
    <t>9735323304</t>
  </si>
  <si>
    <t>SWASTIK25@GMAIL.COM</t>
  </si>
  <si>
    <t>2012-09-27</t>
  </si>
  <si>
    <t>SWASTIK PASARI</t>
  </si>
  <si>
    <t>PANCHAGRAMI SARADMONI VIDYAPITH</t>
  </si>
  <si>
    <t>BUBUN PASARI</t>
  </si>
  <si>
    <t>30/11/2025</t>
  </si>
  <si>
    <t>PATH25005359</t>
  </si>
  <si>
    <t>8918785384</t>
  </si>
  <si>
    <t>koushambidasbayen@gamail.com</t>
  </si>
  <si>
    <t>2013-01-01</t>
  </si>
  <si>
    <t>KOUSHAMBI DAS BAYEN</t>
  </si>
  <si>
    <t>MAHISHADAL RAJ HIGH SCHOOL</t>
  </si>
  <si>
    <t>PARTHA DAS BAYEN</t>
  </si>
  <si>
    <t>PATH25023109</t>
  </si>
  <si>
    <t>9123839379</t>
  </si>
  <si>
    <t>techayan@gmail.com</t>
  </si>
  <si>
    <t>2012-12-03</t>
  </si>
  <si>
    <t>ARKA BHATTACHARJEE</t>
  </si>
  <si>
    <t>PATHAVABAN DANKUNI</t>
  </si>
  <si>
    <t>AYAN BHATTACHARJEE</t>
  </si>
  <si>
    <t>PATH25002835</t>
  </si>
  <si>
    <t>9732532016</t>
  </si>
  <si>
    <t>SOUMILI678@GMAIL.COM</t>
  </si>
  <si>
    <t>2011-09-05</t>
  </si>
  <si>
    <t>SOUMILI SASMAL</t>
  </si>
  <si>
    <t>WBHSE</t>
  </si>
  <si>
    <t>BENEDIGHI HS</t>
  </si>
  <si>
    <t>9732799474</t>
  </si>
  <si>
    <t>NIRMAL KUMAR SASMAL</t>
  </si>
  <si>
    <t>4/12/2025</t>
  </si>
  <si>
    <t>PATH25000842</t>
  </si>
  <si>
    <t>9064140454</t>
  </si>
  <si>
    <t>chandankurumba78@gmail.com</t>
  </si>
  <si>
    <t>2012-12-08</t>
  </si>
  <si>
    <t>AHELI MONDAL</t>
  </si>
  <si>
    <t>Tanushree Mallick Chakraborty CLLR</t>
  </si>
  <si>
    <t>P.P.D HIGH SCHOOL</t>
  </si>
  <si>
    <t>713126</t>
  </si>
  <si>
    <t>9475828235</t>
  </si>
  <si>
    <t>CHANDAN MONDAL</t>
  </si>
  <si>
    <t>7/12/2025</t>
  </si>
  <si>
    <t>PATH25000870</t>
  </si>
  <si>
    <t>9382015487</t>
  </si>
  <si>
    <t>ARMAN88@GMAIL.COM</t>
  </si>
  <si>
    <t>2012-11-22</t>
  </si>
  <si>
    <t>ARMAN HOSSAIN</t>
  </si>
  <si>
    <t>MCS BOYS</t>
  </si>
  <si>
    <t>AHAMMED HOSSAIN</t>
  </si>
  <si>
    <t>8/12/2025</t>
  </si>
  <si>
    <t>PATH25023582</t>
  </si>
  <si>
    <t>9239339133</t>
  </si>
  <si>
    <t>madhurima@pathfound.com</t>
  </si>
  <si>
    <t>MADHURIMA MANDAL</t>
  </si>
  <si>
    <t>BAGNAN</t>
  </si>
  <si>
    <t>Bagnan Pathfinder</t>
  </si>
  <si>
    <t>KHARDAHA HS</t>
  </si>
  <si>
    <t>711401</t>
  </si>
  <si>
    <t>MANAS KR MANDAL</t>
  </si>
  <si>
    <t>11/12/2025</t>
  </si>
  <si>
    <t>PATH25001734</t>
  </si>
  <si>
    <t>8001677606</t>
  </si>
  <si>
    <t>debmalyabiswas7@gmail.com</t>
  </si>
  <si>
    <t>2012-08-28</t>
  </si>
  <si>
    <t>DEBMALYA BISWAS</t>
  </si>
  <si>
    <t>MEMARI UNIT - 1</t>
  </si>
  <si>
    <t>9474554125</t>
  </si>
  <si>
    <t>PRODYUT KR. BISWAS</t>
  </si>
  <si>
    <t>15/12/2025</t>
  </si>
  <si>
    <t>PATH24005369</t>
  </si>
  <si>
    <t>7362990997</t>
  </si>
  <si>
    <t>panjamonodip@gmail.com</t>
  </si>
  <si>
    <t>2010-08-20</t>
  </si>
  <si>
    <t>RAJDEEP PANJA</t>
  </si>
  <si>
    <t>AKUI UNIO HIGH SCHOOL</t>
  </si>
  <si>
    <t>722201</t>
  </si>
  <si>
    <t>MONODIP PANJA</t>
  </si>
  <si>
    <t>21/12/2025</t>
  </si>
  <si>
    <t>PATH25024336</t>
  </si>
  <si>
    <t>9641087734</t>
  </si>
  <si>
    <t>tapas.burdwan698@gmail.com</t>
  </si>
  <si>
    <t>2012-11-05</t>
  </si>
  <si>
    <t>UTSA MONDAL</t>
  </si>
  <si>
    <t>MUNICIPAL GIRLS HIGH SCHOOL</t>
  </si>
  <si>
    <t>713515</t>
  </si>
  <si>
    <t>9609627996</t>
  </si>
  <si>
    <t>SOURAV MONDAL</t>
  </si>
  <si>
    <t>PATH24009226</t>
  </si>
  <si>
    <t>9564552356</t>
  </si>
  <si>
    <t>ARADHYA44@GMAIL.COM</t>
  </si>
  <si>
    <t>2012-10-18</t>
  </si>
  <si>
    <t>ARADHYA GOSWAMI</t>
  </si>
  <si>
    <t>HOOMGARH GIRLS H.S.</t>
  </si>
  <si>
    <t>9733668958</t>
  </si>
  <si>
    <t>MR. GURUPADA GOSWAMI</t>
  </si>
  <si>
    <t>22/12/2025</t>
  </si>
  <si>
    <t>PATH25024412</t>
  </si>
  <si>
    <t>7602029956</t>
  </si>
  <si>
    <t>SABUJPATRA26@GMAIL.COM</t>
  </si>
  <si>
    <t>2012-02-21</t>
  </si>
  <si>
    <t>SABUJ PATRA</t>
  </si>
  <si>
    <t>RADHAMOHANPUR HS</t>
  </si>
  <si>
    <t>721160</t>
  </si>
  <si>
    <t>MADHUSUDAN PATRA</t>
  </si>
  <si>
    <t>25/12/2025</t>
  </si>
  <si>
    <t>PATH25024548</t>
  </si>
  <si>
    <t>7699564563</t>
  </si>
  <si>
    <t>prodipbasu86@gmail.com</t>
  </si>
  <si>
    <t>2012-05-17</t>
  </si>
  <si>
    <t>PROJWAL BASU</t>
  </si>
  <si>
    <t>PRAFULLANAGAR VOIDYAMANDIR</t>
  </si>
  <si>
    <t>743268</t>
  </si>
  <si>
    <t>PRODIP KUMAR BASU</t>
  </si>
  <si>
    <t>26/12/2025</t>
  </si>
  <si>
    <t>PATH25024581</t>
  </si>
  <si>
    <t>6295322033</t>
  </si>
  <si>
    <t>rdey04903@gmail.com</t>
  </si>
  <si>
    <t>2012-07-26</t>
  </si>
  <si>
    <t xml:space="preserve">SHOURYA DEY </t>
  </si>
  <si>
    <t xml:space="preserve">BURDWAN TOWN SCHOOL </t>
  </si>
  <si>
    <t xml:space="preserve">SANTANU DEY </t>
  </si>
  <si>
    <t>28/12/2025</t>
  </si>
  <si>
    <t>PATH25024658</t>
  </si>
  <si>
    <t>9775326495</t>
  </si>
  <si>
    <t>ghoshchhoton729@gmail.com</t>
  </si>
  <si>
    <t>2012-03-24</t>
  </si>
  <si>
    <t>SUMOULI GHOSH</t>
  </si>
  <si>
    <t xml:space="preserve">MONTESWAR SATI KRISHNAMONI </t>
  </si>
  <si>
    <t>MAHADEB GHOSH</t>
  </si>
  <si>
    <t>PATH25000970</t>
  </si>
  <si>
    <t>8536851042</t>
  </si>
  <si>
    <t>arup.de2014@gmail.com</t>
  </si>
  <si>
    <t>2012-10-10</t>
  </si>
  <si>
    <t xml:space="preserve">ANKUR DE </t>
  </si>
  <si>
    <t>MONTESWAR SAGARBALA HIGH SCHOOL</t>
  </si>
  <si>
    <t>7679975870</t>
  </si>
  <si>
    <t>ARUP KUMAR DE</t>
  </si>
  <si>
    <t>PATH25024678</t>
  </si>
  <si>
    <t>8388886218</t>
  </si>
  <si>
    <t>skalinewaj39@gmail.com</t>
  </si>
  <si>
    <t>2010-07-18</t>
  </si>
  <si>
    <t>SK IMON</t>
  </si>
  <si>
    <t>KAIRAPUR HIGH SCHOOL</t>
  </si>
  <si>
    <t>713127</t>
  </si>
  <si>
    <t>8617886406</t>
  </si>
  <si>
    <t>SK ALINEWAJ</t>
  </si>
  <si>
    <t>PATH25024687</t>
  </si>
  <si>
    <t>9800287385</t>
  </si>
  <si>
    <t>sutapamanna448@gmail.com</t>
  </si>
  <si>
    <t>DIPTANGSHU DAS</t>
  </si>
  <si>
    <t>DHULIAPUR P.S BANI MANDIR</t>
  </si>
  <si>
    <t>721152</t>
  </si>
  <si>
    <t>DILIP KR DAS</t>
  </si>
  <si>
    <t>PATH25024764</t>
  </si>
  <si>
    <t>9064196486</t>
  </si>
  <si>
    <t>PRAMANIKARIK89547@GMAIL.COM</t>
  </si>
  <si>
    <t>2012-03-01</t>
  </si>
  <si>
    <t>ARIK PRAMANIK</t>
  </si>
  <si>
    <t>RKM MIDNAPORE</t>
  </si>
  <si>
    <t>30/12/2025</t>
  </si>
  <si>
    <t>PATH25024825</t>
  </si>
  <si>
    <t>9635630302</t>
  </si>
  <si>
    <t>SUJAN26@GMAIL.COM</t>
  </si>
  <si>
    <t>2008-02-02</t>
  </si>
  <si>
    <t>SURAJIT SAREN</t>
  </si>
  <si>
    <t>st nicholas school</t>
  </si>
  <si>
    <t>7029627075</t>
  </si>
  <si>
    <t>MR. SAREN</t>
  </si>
  <si>
    <t>31/12/2025</t>
  </si>
  <si>
    <t>PATH25024845</t>
  </si>
  <si>
    <t>7001802094</t>
  </si>
  <si>
    <t>sarkar15091982@gmail.com</t>
  </si>
  <si>
    <t>2012-11-20</t>
  </si>
  <si>
    <t xml:space="preserve">KINGSHUK SARKAR </t>
  </si>
  <si>
    <t xml:space="preserve">RAMPURHAT JITENDRALAL BIDYABHABAN </t>
  </si>
  <si>
    <t xml:space="preserve">TUSHAR SARKAR </t>
  </si>
  <si>
    <t>3/1/2026</t>
  </si>
  <si>
    <t>PATH25000747</t>
  </si>
  <si>
    <t>8509104343</t>
  </si>
  <si>
    <t>prasantaguin@gmail.com</t>
  </si>
  <si>
    <t>2012-04-08</t>
  </si>
  <si>
    <t>PARIMAL GUIN</t>
  </si>
  <si>
    <t>MALDANGA R.M INSTITUTE</t>
  </si>
  <si>
    <t>PRASANTA GUIN</t>
  </si>
  <si>
    <t>4/1/2026</t>
  </si>
  <si>
    <t>PATH26000123</t>
  </si>
  <si>
    <t>9163078208</t>
  </si>
  <si>
    <t>avikmondal@gmail.com</t>
  </si>
  <si>
    <t>2012-05-27</t>
  </si>
  <si>
    <t>AVIK MONDAL</t>
  </si>
  <si>
    <t>ASARI BISHNUPUR SRIRAMKRISHNA VIDYAPITH</t>
  </si>
  <si>
    <t>721136</t>
  </si>
  <si>
    <t>SUKUMAR MONDAL</t>
  </si>
  <si>
    <t>PATH25003768</t>
  </si>
  <si>
    <t>7872876969</t>
  </si>
  <si>
    <t>ASMI8888@GMAIL.COM</t>
  </si>
  <si>
    <t>ASMI BISWAS</t>
  </si>
  <si>
    <t>9734373970</t>
  </si>
  <si>
    <t>AMBARISH BISWAS</t>
  </si>
  <si>
    <t>11/1/2026</t>
  </si>
  <si>
    <t>PATH26000384</t>
  </si>
  <si>
    <t>8001787775</t>
  </si>
  <si>
    <t>anamikaghosh@gmail.com</t>
  </si>
  <si>
    <t>2012-12-12</t>
  </si>
  <si>
    <t>ASMITA GHOSH</t>
  </si>
  <si>
    <t>MEMARI RASHIKLAL GIRLS</t>
  </si>
  <si>
    <t>TAPAN KUMAR GHOSH</t>
  </si>
  <si>
    <t>16/1/2026</t>
  </si>
  <si>
    <t>PATH26000565</t>
  </si>
  <si>
    <t>8116810678</t>
  </si>
  <si>
    <t>arijitmanda8549@gmail.com</t>
  </si>
  <si>
    <t>ARIJIT MANDAL</t>
  </si>
  <si>
    <t>harimara konar hs</t>
  </si>
  <si>
    <t>18/1/2026</t>
  </si>
  <si>
    <t>PATH25000974</t>
  </si>
  <si>
    <t>9475377126</t>
  </si>
  <si>
    <t>jebikash396@gmail.com</t>
  </si>
  <si>
    <t>2012-11-02</t>
  </si>
  <si>
    <t xml:space="preserve">BISWAYAN SAHA </t>
  </si>
  <si>
    <t xml:space="preserve">DELHI PUBLIC SCHOOL </t>
  </si>
  <si>
    <t>BIKASH SAHA</t>
  </si>
  <si>
    <t>PATH26000643</t>
  </si>
  <si>
    <t>6294389930</t>
  </si>
  <si>
    <t>DASAISHEE8548@GMAIL.COM</t>
  </si>
  <si>
    <t>AISHEE DAS</t>
  </si>
  <si>
    <t>ANANDAPUR HS</t>
  </si>
  <si>
    <t>9733080079</t>
  </si>
  <si>
    <t>PATH26000647</t>
  </si>
  <si>
    <t>8900365409</t>
  </si>
  <si>
    <t>DASSOHAN8549@GMAIL.COM</t>
  </si>
  <si>
    <t>2013-06-02</t>
  </si>
  <si>
    <t>SOHAN DAS</t>
  </si>
  <si>
    <t>8900365411</t>
  </si>
  <si>
    <t>30/1/2026</t>
  </si>
  <si>
    <t>PATH26000900</t>
  </si>
  <si>
    <t>9635649500</t>
  </si>
  <si>
    <t>ADRITARANA26@GMAIL.COM</t>
  </si>
  <si>
    <t>2012-12-21</t>
  </si>
  <si>
    <t>ADRITA RANA</t>
  </si>
  <si>
    <t>JHARGRAM SARADAPITH</t>
  </si>
  <si>
    <t>721507</t>
  </si>
  <si>
    <t>6295534423</t>
  </si>
  <si>
    <t>SUJIT KUMAR RANA</t>
  </si>
  <si>
    <t>PATH26000918</t>
  </si>
  <si>
    <t>9564730026</t>
  </si>
  <si>
    <t>subhradey430@gmail.com</t>
  </si>
  <si>
    <t>2012-07-01</t>
  </si>
  <si>
    <t xml:space="preserve">SOHAM DE </t>
  </si>
  <si>
    <t xml:space="preserve">NARAYANA SCHOOL BURDWAN </t>
  </si>
  <si>
    <t>ASISH DE</t>
  </si>
  <si>
    <t>31/1/2026</t>
  </si>
  <si>
    <t>PATH25011277</t>
  </si>
  <si>
    <t>8001972586</t>
  </si>
  <si>
    <t>tarunkumarmaiti74@gmail.com</t>
  </si>
  <si>
    <t>2012-01-13</t>
  </si>
  <si>
    <t>SOUMILI MAITI</t>
  </si>
  <si>
    <t>MOYNA VIVEKANANDA KANYA</t>
  </si>
  <si>
    <t>PATH26000939</t>
  </si>
  <si>
    <t>8637579202</t>
  </si>
  <si>
    <t>TIYASAMANNA26@GMAIL.COM</t>
  </si>
  <si>
    <t>2012-06-03</t>
  </si>
  <si>
    <t>TIYASA MANNA</t>
  </si>
  <si>
    <t>GOLGRAM R BBM HIGH SCHOOL</t>
  </si>
  <si>
    <t>ASHOK MANNA</t>
  </si>
  <si>
    <t>1/2/2026</t>
  </si>
  <si>
    <t>PATH25018703</t>
  </si>
  <si>
    <t>9434487714</t>
  </si>
  <si>
    <t>srimit@gmail.com</t>
  </si>
  <si>
    <t>2012-06-27</t>
  </si>
  <si>
    <t>SRIJITA MITRA</t>
  </si>
  <si>
    <t>RAINA JAGATMATA ANCHALIK BALIKA VIDYALAYA</t>
  </si>
  <si>
    <t>713424</t>
  </si>
  <si>
    <t>6294483223</t>
  </si>
  <si>
    <t>ARIJIT MITRA</t>
  </si>
  <si>
    <t>12/2/2026</t>
  </si>
  <si>
    <t>PATH26001153</t>
  </si>
  <si>
    <t>9593400593</t>
  </si>
  <si>
    <t>ATASRIJAN2026@GMAIL.COM</t>
  </si>
  <si>
    <t>SRIJAN ATA</t>
  </si>
  <si>
    <t>HOOMGARH BOYS</t>
  </si>
  <si>
    <t>15/2/2026</t>
  </si>
  <si>
    <t>PATH25000695</t>
  </si>
  <si>
    <t>8250023891</t>
  </si>
  <si>
    <t>parthamondall401@gmail.com</t>
  </si>
  <si>
    <t>SOUMYABRATA MONDAL</t>
  </si>
  <si>
    <t>8918392493</t>
  </si>
  <si>
    <t>PARTHA MONDAL</t>
  </si>
  <si>
    <t>PATH25012231</t>
  </si>
  <si>
    <t>7407427246</t>
  </si>
  <si>
    <t>aniketjana@gmail.com</t>
  </si>
  <si>
    <t>2012-02-20</t>
  </si>
  <si>
    <t>ANIKET JANA</t>
  </si>
  <si>
    <t>RAMPUR VIVEKANANDA MISSION ASRAM</t>
  </si>
  <si>
    <t>20/2/2026</t>
  </si>
  <si>
    <t>PATH26001272</t>
  </si>
  <si>
    <t>9434660897</t>
  </si>
  <si>
    <t>debiprasadsinhamohapatra@gmail.com</t>
  </si>
  <si>
    <t>2013-09-24</t>
  </si>
  <si>
    <t>DEBDATTA SINHA MAHAPATRA</t>
  </si>
  <si>
    <t>bidyarthi girls high school</t>
  </si>
  <si>
    <t>9647526985</t>
  </si>
  <si>
    <t>DEBIPRASAD SINHA MAHAPATRA</t>
  </si>
  <si>
    <t>22/2/2026</t>
  </si>
  <si>
    <t>PATH26001310</t>
  </si>
  <si>
    <t>8609805380</t>
  </si>
  <si>
    <t>indranighosh1990@gmail.com</t>
  </si>
  <si>
    <t>2013-02-16</t>
  </si>
  <si>
    <t xml:space="preserve">SOUNAVA GHOSH </t>
  </si>
  <si>
    <t xml:space="preserve">techno india group </t>
  </si>
  <si>
    <t>DEBIPRASAD  GHOSH</t>
  </si>
  <si>
    <t>PATH26001322</t>
  </si>
  <si>
    <t>825029970</t>
  </si>
  <si>
    <t>ANURUPA26@GMAIL.COM</t>
  </si>
  <si>
    <t>2012-10-15</t>
  </si>
  <si>
    <t>ANIRBAN GHOSH</t>
  </si>
  <si>
    <t>CHANDABILA HS</t>
  </si>
  <si>
    <t>23/2/2026</t>
  </si>
  <si>
    <t>PATH26001362</t>
  </si>
  <si>
    <t>9932422124</t>
  </si>
  <si>
    <t>ranjit.sn85@gmail.com</t>
  </si>
  <si>
    <t>2012-08-22</t>
  </si>
  <si>
    <t xml:space="preserve">SRIJIT DUTTA </t>
  </si>
  <si>
    <t>SHYAMSUNDAR RAMLAL ADARSHA VIDYALAYA</t>
  </si>
  <si>
    <t>9476485265</t>
  </si>
  <si>
    <t>RANAJIT KR. DUTTA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</si>
</sst>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2"/>
  <sheetViews>
    <sheetView tabSelected="1" topLeftCell="S1" workbookViewId="0">
      <selection activeCell="U20" sqref="U20"/>
    </sheetView>
  </sheetViews>
  <sheetFormatPr defaultRowHeight="15.75" x14ac:dyDescent="0.25"/>
  <cols>
    <col min="1" max="1" width="5.625" bestFit="1" customWidth="1"/>
    <col min="2" max="2" width="13.75" bestFit="1" customWidth="1"/>
    <col min="3" max="3" width="13.375" bestFit="1" customWidth="1"/>
    <col min="4" max="4" width="11.875" bestFit="1" customWidth="1"/>
    <col min="5" max="5" width="33.875" bestFit="1" customWidth="1"/>
    <col min="6" max="6" width="11.125" bestFit="1" customWidth="1"/>
    <col min="7" max="7" width="26.75" bestFit="1" customWidth="1"/>
    <col min="8" max="8" width="16" bestFit="1" customWidth="1"/>
    <col min="9" max="9" width="16.125" bestFit="1" customWidth="1"/>
    <col min="10" max="10" width="16.875" bestFit="1" customWidth="1"/>
    <col min="11" max="11" width="23.5" bestFit="1" customWidth="1"/>
    <col min="12" max="12" width="18.25" bestFit="1" customWidth="1"/>
    <col min="13" max="13" width="16" bestFit="1" customWidth="1"/>
    <col min="14" max="14" width="16.125" bestFit="1" customWidth="1"/>
    <col min="15" max="15" width="16.875" bestFit="1" customWidth="1"/>
    <col min="16" max="16" width="23.5" bestFit="1" customWidth="1"/>
    <col min="17" max="17" width="18.25" bestFit="1" customWidth="1"/>
    <col min="18" max="18" width="53.75" bestFit="1" customWidth="1"/>
    <col min="19" max="19" width="9.5" bestFit="1" customWidth="1"/>
    <col min="20" max="20" width="15.25" bestFit="1" customWidth="1"/>
    <col min="21" max="21" width="31.125" bestFit="1" customWidth="1"/>
    <col min="22" max="22" width="6.75" bestFit="1" customWidth="1"/>
    <col min="23" max="23" width="6.875" bestFit="1" customWidth="1"/>
    <col min="24" max="24" width="49.125" bestFit="1" customWidth="1"/>
    <col min="25" max="25" width="7.875" bestFit="1" customWidth="1"/>
    <col min="26" max="26" width="27.375" bestFit="1" customWidth="1"/>
    <col min="27" max="27" width="22.5" bestFit="1" customWidth="1"/>
    <col min="28" max="28" width="28.25" bestFit="1" customWidth="1"/>
    <col min="29" max="29" width="19.125" bestFit="1" customWidth="1"/>
    <col min="30" max="30" width="20.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</row>
    <row r="2" spans="1:30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129491.5254237254</v>
      </c>
      <c r="I2">
        <v>129384.75</v>
      </c>
      <c r="J2">
        <v>106.77542372539756</v>
      </c>
      <c r="K2">
        <v>0</v>
      </c>
      <c r="L2">
        <v>0</v>
      </c>
      <c r="M2">
        <f>H2*1.18</f>
        <v>152799.99999999595</v>
      </c>
      <c r="N2">
        <f>I2*1.18</f>
        <v>152674.005</v>
      </c>
      <c r="O2">
        <f>J2*1.18</f>
        <v>125.99499999596911</v>
      </c>
      <c r="P2">
        <f>K2*1.18</f>
        <v>0</v>
      </c>
      <c r="Q2">
        <f>L2*1.18</f>
        <v>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28</v>
      </c>
      <c r="AA2" t="s">
        <v>27</v>
      </c>
      <c r="AB2" t="s">
        <v>39</v>
      </c>
      <c r="AC2" t="s">
        <v>40</v>
      </c>
      <c r="AD2" t="s">
        <v>41</v>
      </c>
    </row>
    <row r="3" spans="1:30" x14ac:dyDescent="0.25">
      <c r="A3">
        <v>2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>
        <v>169491.54</v>
      </c>
      <c r="I3">
        <v>0</v>
      </c>
      <c r="J3">
        <v>169491.54</v>
      </c>
      <c r="K3">
        <v>33898.31</v>
      </c>
      <c r="L3">
        <v>85168.950000000012</v>
      </c>
      <c r="M3">
        <f t="shared" ref="M3:M66" si="0">H3*1.18</f>
        <v>200000.0172</v>
      </c>
      <c r="N3">
        <f t="shared" ref="N3:N66" si="1">I3*1.18</f>
        <v>0</v>
      </c>
      <c r="O3">
        <f t="shared" ref="O3:O66" si="2">J3*1.18</f>
        <v>200000.0172</v>
      </c>
      <c r="P3">
        <f t="shared" ref="P3:P66" si="3">K3*1.18</f>
        <v>40000.005799999992</v>
      </c>
      <c r="Q3">
        <f t="shared" ref="Q3:Q66" si="4">L3*1.18</f>
        <v>100499.361</v>
      </c>
      <c r="R3" t="s">
        <v>48</v>
      </c>
      <c r="S3" t="s">
        <v>32</v>
      </c>
      <c r="T3" t="s">
        <v>49</v>
      </c>
      <c r="U3" t="s">
        <v>50</v>
      </c>
      <c r="V3" t="s">
        <v>35</v>
      </c>
      <c r="W3" t="s">
        <v>51</v>
      </c>
      <c r="X3" t="s">
        <v>52</v>
      </c>
      <c r="Y3" t="s">
        <v>53</v>
      </c>
      <c r="Z3" t="s">
        <v>54</v>
      </c>
      <c r="AA3" t="s">
        <v>54</v>
      </c>
      <c r="AB3" t="s">
        <v>55</v>
      </c>
      <c r="AC3" t="s">
        <v>54</v>
      </c>
      <c r="AD3" t="s">
        <v>54</v>
      </c>
    </row>
    <row r="4" spans="1:30" x14ac:dyDescent="0.25">
      <c r="A4">
        <v>3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>
        <v>169491.54</v>
      </c>
      <c r="I4">
        <v>42370.29</v>
      </c>
      <c r="J4">
        <v>127121.25</v>
      </c>
      <c r="K4">
        <v>12074.58</v>
      </c>
      <c r="L4">
        <v>83475.189999999988</v>
      </c>
      <c r="M4">
        <f t="shared" si="0"/>
        <v>200000.0172</v>
      </c>
      <c r="N4">
        <f t="shared" si="1"/>
        <v>49996.942199999998</v>
      </c>
      <c r="O4">
        <f t="shared" si="2"/>
        <v>150003.07499999998</v>
      </c>
      <c r="P4">
        <f t="shared" si="3"/>
        <v>14248.0044</v>
      </c>
      <c r="Q4">
        <f t="shared" si="4"/>
        <v>98500.724199999982</v>
      </c>
      <c r="R4" t="s">
        <v>62</v>
      </c>
      <c r="S4" t="s">
        <v>32</v>
      </c>
      <c r="T4" t="s">
        <v>63</v>
      </c>
      <c r="U4" t="s">
        <v>64</v>
      </c>
      <c r="V4" t="s">
        <v>35</v>
      </c>
      <c r="W4" t="s">
        <v>36</v>
      </c>
      <c r="X4" t="s">
        <v>65</v>
      </c>
      <c r="Y4" t="s">
        <v>66</v>
      </c>
      <c r="Z4" t="s">
        <v>54</v>
      </c>
      <c r="AA4" t="s">
        <v>54</v>
      </c>
      <c r="AB4" t="s">
        <v>67</v>
      </c>
      <c r="AC4" t="s">
        <v>54</v>
      </c>
      <c r="AD4" t="s">
        <v>54</v>
      </c>
    </row>
    <row r="5" spans="1:30" x14ac:dyDescent="0.25">
      <c r="A5">
        <v>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>
        <v>169491.5254237254</v>
      </c>
      <c r="I5">
        <v>25423.73</v>
      </c>
      <c r="J5">
        <v>144067.79542372539</v>
      </c>
      <c r="K5">
        <v>0</v>
      </c>
      <c r="L5">
        <v>27824.83</v>
      </c>
      <c r="M5">
        <f t="shared" si="0"/>
        <v>199999.99999999595</v>
      </c>
      <c r="N5">
        <f t="shared" si="1"/>
        <v>30000.001399999997</v>
      </c>
      <c r="O5">
        <f t="shared" si="2"/>
        <v>169999.99859999595</v>
      </c>
      <c r="P5">
        <f t="shared" si="3"/>
        <v>0</v>
      </c>
      <c r="Q5">
        <f t="shared" si="4"/>
        <v>32833.299400000004</v>
      </c>
      <c r="R5" t="s">
        <v>74</v>
      </c>
      <c r="S5" t="s">
        <v>32</v>
      </c>
      <c r="T5" t="s">
        <v>75</v>
      </c>
      <c r="U5" t="s">
        <v>76</v>
      </c>
      <c r="V5" t="s">
        <v>77</v>
      </c>
      <c r="W5" t="s">
        <v>51</v>
      </c>
      <c r="X5" t="s">
        <v>78</v>
      </c>
      <c r="Y5" t="s">
        <v>54</v>
      </c>
      <c r="Z5" t="s">
        <v>54</v>
      </c>
      <c r="AA5" t="s">
        <v>54</v>
      </c>
      <c r="AB5" t="s">
        <v>79</v>
      </c>
      <c r="AC5" t="s">
        <v>54</v>
      </c>
      <c r="AD5" t="s">
        <v>54</v>
      </c>
    </row>
    <row r="6" spans="1:30" x14ac:dyDescent="0.25">
      <c r="A6">
        <v>5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>
        <v>79660.067796999996</v>
      </c>
      <c r="I6">
        <v>4237.29</v>
      </c>
      <c r="J6">
        <v>75422.777797000002</v>
      </c>
      <c r="K6">
        <v>0</v>
      </c>
      <c r="L6">
        <v>19191.27</v>
      </c>
      <c r="M6">
        <f t="shared" si="0"/>
        <v>93998.880000459991</v>
      </c>
      <c r="N6">
        <f t="shared" si="1"/>
        <v>5000.0021999999999</v>
      </c>
      <c r="O6">
        <f t="shared" si="2"/>
        <v>88998.877800460003</v>
      </c>
      <c r="P6">
        <f t="shared" si="3"/>
        <v>0</v>
      </c>
      <c r="Q6">
        <f t="shared" si="4"/>
        <v>22645.6986</v>
      </c>
      <c r="R6" t="s">
        <v>86</v>
      </c>
      <c r="S6" t="s">
        <v>32</v>
      </c>
      <c r="T6" t="s">
        <v>49</v>
      </c>
      <c r="U6" t="s">
        <v>87</v>
      </c>
      <c r="V6" t="s">
        <v>35</v>
      </c>
      <c r="W6" t="s">
        <v>51</v>
      </c>
      <c r="X6" t="s">
        <v>88</v>
      </c>
      <c r="Y6" t="s">
        <v>89</v>
      </c>
      <c r="Z6" t="s">
        <v>54</v>
      </c>
      <c r="AA6" t="s">
        <v>90</v>
      </c>
      <c r="AB6" t="s">
        <v>91</v>
      </c>
      <c r="AC6" t="s">
        <v>54</v>
      </c>
      <c r="AD6" t="s">
        <v>54</v>
      </c>
    </row>
    <row r="7" spans="1:30" x14ac:dyDescent="0.25">
      <c r="A7">
        <v>6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>
        <v>69394.068644059997</v>
      </c>
      <c r="I7">
        <v>2542.37</v>
      </c>
      <c r="J7">
        <v>66851.698644060001</v>
      </c>
      <c r="K7">
        <v>5932.2</v>
      </c>
      <c r="L7">
        <v>3746.55</v>
      </c>
      <c r="M7">
        <f t="shared" si="0"/>
        <v>81885.000999990792</v>
      </c>
      <c r="N7">
        <f t="shared" si="1"/>
        <v>2999.9965999999995</v>
      </c>
      <c r="O7">
        <f t="shared" si="2"/>
        <v>78885.004399990794</v>
      </c>
      <c r="P7">
        <f t="shared" si="3"/>
        <v>6999.9959999999992</v>
      </c>
      <c r="Q7">
        <f t="shared" si="4"/>
        <v>4420.9290000000001</v>
      </c>
      <c r="R7" t="s">
        <v>98</v>
      </c>
      <c r="S7" t="s">
        <v>32</v>
      </c>
      <c r="T7" t="s">
        <v>99</v>
      </c>
      <c r="U7" t="s">
        <v>100</v>
      </c>
      <c r="V7" t="s">
        <v>35</v>
      </c>
      <c r="W7" t="s">
        <v>101</v>
      </c>
      <c r="X7" t="s">
        <v>102</v>
      </c>
      <c r="Y7" t="s">
        <v>103</v>
      </c>
      <c r="Z7" t="s">
        <v>54</v>
      </c>
      <c r="AA7" t="s">
        <v>54</v>
      </c>
      <c r="AB7" t="s">
        <v>104</v>
      </c>
      <c r="AC7" t="s">
        <v>54</v>
      </c>
      <c r="AD7" t="s">
        <v>54</v>
      </c>
    </row>
    <row r="8" spans="1:30" x14ac:dyDescent="0.25">
      <c r="A8">
        <v>7</v>
      </c>
      <c r="B8" t="s">
        <v>92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166101.69492372539</v>
      </c>
      <c r="I8">
        <v>16949.150000000001</v>
      </c>
      <c r="J8">
        <v>149152.54492372539</v>
      </c>
      <c r="K8">
        <v>0</v>
      </c>
      <c r="L8">
        <v>169491.55</v>
      </c>
      <c r="M8">
        <f t="shared" si="0"/>
        <v>196000.00000999594</v>
      </c>
      <c r="N8">
        <f t="shared" si="1"/>
        <v>19999.996999999999</v>
      </c>
      <c r="O8">
        <f t="shared" si="2"/>
        <v>176000.00300999594</v>
      </c>
      <c r="P8">
        <f t="shared" si="3"/>
        <v>0</v>
      </c>
      <c r="Q8">
        <f t="shared" si="4"/>
        <v>200000.02899999998</v>
      </c>
      <c r="R8" t="s">
        <v>31</v>
      </c>
      <c r="S8" t="s">
        <v>32</v>
      </c>
      <c r="T8" t="s">
        <v>33</v>
      </c>
      <c r="U8" t="s">
        <v>34</v>
      </c>
      <c r="V8" t="s">
        <v>35</v>
      </c>
      <c r="W8" t="s">
        <v>36</v>
      </c>
      <c r="X8" t="s">
        <v>37</v>
      </c>
      <c r="Y8" t="s">
        <v>38</v>
      </c>
      <c r="Z8" t="s">
        <v>28</v>
      </c>
      <c r="AA8" t="s">
        <v>27</v>
      </c>
      <c r="AB8" t="s">
        <v>39</v>
      </c>
      <c r="AC8" t="s">
        <v>40</v>
      </c>
      <c r="AD8" t="s">
        <v>41</v>
      </c>
    </row>
    <row r="9" spans="1:30" x14ac:dyDescent="0.25">
      <c r="A9">
        <v>8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>
        <v>80274</v>
      </c>
      <c r="I9">
        <v>4237.29</v>
      </c>
      <c r="J9">
        <v>76036.710000000006</v>
      </c>
      <c r="K9">
        <v>0</v>
      </c>
      <c r="L9">
        <v>38399.71</v>
      </c>
      <c r="M9">
        <f t="shared" si="0"/>
        <v>94723.319999999992</v>
      </c>
      <c r="N9">
        <f t="shared" si="1"/>
        <v>5000.0021999999999</v>
      </c>
      <c r="O9">
        <f t="shared" si="2"/>
        <v>89723.317800000004</v>
      </c>
      <c r="P9">
        <f t="shared" si="3"/>
        <v>0</v>
      </c>
      <c r="Q9">
        <f t="shared" si="4"/>
        <v>45311.657799999994</v>
      </c>
      <c r="R9" t="s">
        <v>111</v>
      </c>
      <c r="S9" t="s">
        <v>32</v>
      </c>
      <c r="T9" t="s">
        <v>112</v>
      </c>
      <c r="U9" t="s">
        <v>113</v>
      </c>
      <c r="V9" t="s">
        <v>77</v>
      </c>
      <c r="W9" t="s">
        <v>101</v>
      </c>
      <c r="X9" t="s">
        <v>54</v>
      </c>
      <c r="Y9" t="s">
        <v>54</v>
      </c>
      <c r="Z9" t="s">
        <v>114</v>
      </c>
      <c r="AA9" t="s">
        <v>107</v>
      </c>
      <c r="AB9" t="s">
        <v>54</v>
      </c>
      <c r="AC9" t="s">
        <v>54</v>
      </c>
      <c r="AD9" t="s">
        <v>54</v>
      </c>
    </row>
    <row r="10" spans="1:30" x14ac:dyDescent="0.25">
      <c r="A10">
        <v>9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>
        <v>169491.5254237254</v>
      </c>
      <c r="I10">
        <v>0</v>
      </c>
      <c r="J10">
        <v>169491.5254237254</v>
      </c>
      <c r="K10">
        <v>8474.58</v>
      </c>
      <c r="L10">
        <v>15065.820000000002</v>
      </c>
      <c r="M10">
        <f t="shared" si="0"/>
        <v>199999.99999999595</v>
      </c>
      <c r="N10">
        <f t="shared" si="1"/>
        <v>0</v>
      </c>
      <c r="O10">
        <f t="shared" si="2"/>
        <v>199999.99999999595</v>
      </c>
      <c r="P10">
        <f t="shared" si="3"/>
        <v>10000.0044</v>
      </c>
      <c r="Q10">
        <f t="shared" si="4"/>
        <v>17777.667600000001</v>
      </c>
      <c r="R10" t="s">
        <v>31</v>
      </c>
      <c r="S10" t="s">
        <v>32</v>
      </c>
      <c r="T10" t="s">
        <v>121</v>
      </c>
      <c r="U10" t="s">
        <v>122</v>
      </c>
      <c r="V10" t="s">
        <v>35</v>
      </c>
      <c r="W10" t="s">
        <v>101</v>
      </c>
      <c r="X10" t="s">
        <v>123</v>
      </c>
      <c r="Y10" t="s">
        <v>124</v>
      </c>
      <c r="Z10" t="s">
        <v>54</v>
      </c>
      <c r="AA10" t="s">
        <v>54</v>
      </c>
      <c r="AB10" t="s">
        <v>125</v>
      </c>
      <c r="AC10" t="s">
        <v>54</v>
      </c>
      <c r="AD10" t="s">
        <v>54</v>
      </c>
    </row>
    <row r="11" spans="1:30" x14ac:dyDescent="0.25">
      <c r="A11">
        <v>10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H11">
        <v>77000</v>
      </c>
      <c r="I11">
        <v>21186.44</v>
      </c>
      <c r="J11">
        <v>55813.56</v>
      </c>
      <c r="K11">
        <v>0</v>
      </c>
      <c r="L11">
        <v>20063.560000000001</v>
      </c>
      <c r="M11">
        <f t="shared" si="0"/>
        <v>90860</v>
      </c>
      <c r="N11">
        <f t="shared" si="1"/>
        <v>24999.999199999998</v>
      </c>
      <c r="O11">
        <f t="shared" si="2"/>
        <v>65860.000799999994</v>
      </c>
      <c r="P11">
        <f t="shared" si="3"/>
        <v>0</v>
      </c>
      <c r="Q11">
        <f t="shared" si="4"/>
        <v>23675.000800000002</v>
      </c>
      <c r="R11" t="s">
        <v>132</v>
      </c>
      <c r="S11" t="s">
        <v>32</v>
      </c>
      <c r="T11" t="s">
        <v>133</v>
      </c>
      <c r="U11" t="s">
        <v>134</v>
      </c>
      <c r="V11" t="s">
        <v>35</v>
      </c>
      <c r="W11" t="s">
        <v>101</v>
      </c>
      <c r="X11" t="s">
        <v>135</v>
      </c>
      <c r="Y11" t="s">
        <v>54</v>
      </c>
      <c r="Z11" t="s">
        <v>54</v>
      </c>
      <c r="AA11" t="s">
        <v>136</v>
      </c>
      <c r="AB11" t="s">
        <v>137</v>
      </c>
      <c r="AC11" t="s">
        <v>54</v>
      </c>
      <c r="AD11" t="s">
        <v>54</v>
      </c>
    </row>
    <row r="12" spans="1:30" x14ac:dyDescent="0.25">
      <c r="A12">
        <v>11</v>
      </c>
      <c r="B12" t="s">
        <v>126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>
        <v>76194</v>
      </c>
      <c r="I12">
        <v>42370.29</v>
      </c>
      <c r="J12">
        <v>33823.71</v>
      </c>
      <c r="K12">
        <v>0</v>
      </c>
      <c r="L12">
        <v>9992.9499999999989</v>
      </c>
      <c r="M12">
        <f t="shared" si="0"/>
        <v>89908.92</v>
      </c>
      <c r="N12">
        <f t="shared" si="1"/>
        <v>49996.942199999998</v>
      </c>
      <c r="O12">
        <f t="shared" si="2"/>
        <v>39911.977799999993</v>
      </c>
      <c r="P12">
        <f t="shared" si="3"/>
        <v>0</v>
      </c>
      <c r="Q12">
        <f t="shared" si="4"/>
        <v>11791.680999999999</v>
      </c>
      <c r="R12" t="s">
        <v>111</v>
      </c>
      <c r="S12" t="s">
        <v>32</v>
      </c>
      <c r="T12" t="s">
        <v>143</v>
      </c>
      <c r="U12" t="s">
        <v>144</v>
      </c>
      <c r="V12" t="s">
        <v>35</v>
      </c>
      <c r="W12" t="s">
        <v>101</v>
      </c>
      <c r="X12" t="s">
        <v>145</v>
      </c>
      <c r="Y12" t="s">
        <v>146</v>
      </c>
      <c r="Z12" t="s">
        <v>54</v>
      </c>
      <c r="AA12" t="s">
        <v>54</v>
      </c>
      <c r="AB12" t="s">
        <v>147</v>
      </c>
      <c r="AC12" t="s">
        <v>54</v>
      </c>
      <c r="AD12" t="s">
        <v>54</v>
      </c>
    </row>
    <row r="13" spans="1:30" x14ac:dyDescent="0.25">
      <c r="A13">
        <v>12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>
        <v>161016.94542372541</v>
      </c>
      <c r="I13">
        <v>33898.305084699998</v>
      </c>
      <c r="J13">
        <v>127118.64033902541</v>
      </c>
      <c r="K13">
        <v>0</v>
      </c>
      <c r="L13">
        <v>28890.6</v>
      </c>
      <c r="M13">
        <f t="shared" si="0"/>
        <v>189999.99559999598</v>
      </c>
      <c r="N13">
        <f t="shared" si="1"/>
        <v>39999.999999945998</v>
      </c>
      <c r="O13">
        <f t="shared" si="2"/>
        <v>149999.99560004997</v>
      </c>
      <c r="P13">
        <f t="shared" si="3"/>
        <v>0</v>
      </c>
      <c r="Q13">
        <f t="shared" si="4"/>
        <v>34090.907999999996</v>
      </c>
      <c r="R13" t="s">
        <v>31</v>
      </c>
      <c r="S13" t="s">
        <v>32</v>
      </c>
      <c r="T13" t="s">
        <v>154</v>
      </c>
      <c r="U13" t="s">
        <v>155</v>
      </c>
      <c r="V13" t="s">
        <v>35</v>
      </c>
      <c r="W13" t="s">
        <v>101</v>
      </c>
      <c r="X13" t="s">
        <v>156</v>
      </c>
      <c r="Y13" t="s">
        <v>157</v>
      </c>
      <c r="Z13" t="s">
        <v>151</v>
      </c>
      <c r="AA13" t="s">
        <v>158</v>
      </c>
      <c r="AB13" t="s">
        <v>159</v>
      </c>
      <c r="AC13" t="s">
        <v>40</v>
      </c>
      <c r="AD13" t="s">
        <v>41</v>
      </c>
    </row>
    <row r="14" spans="1:30" x14ac:dyDescent="0.25">
      <c r="A14">
        <v>13</v>
      </c>
      <c r="B14" t="s">
        <v>160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H14">
        <v>71117.799999999988</v>
      </c>
      <c r="I14">
        <v>1694.92</v>
      </c>
      <c r="J14">
        <v>69422.87999999999</v>
      </c>
      <c r="K14">
        <v>3389.83</v>
      </c>
      <c r="L14">
        <v>4791.72</v>
      </c>
      <c r="M14">
        <f t="shared" si="0"/>
        <v>83919.003999999986</v>
      </c>
      <c r="N14">
        <f t="shared" si="1"/>
        <v>2000.0056</v>
      </c>
      <c r="O14">
        <f t="shared" si="2"/>
        <v>81918.998399999982</v>
      </c>
      <c r="P14">
        <f t="shared" si="3"/>
        <v>3999.9993999999997</v>
      </c>
      <c r="Q14">
        <f t="shared" si="4"/>
        <v>5654.2295999999997</v>
      </c>
      <c r="R14" t="s">
        <v>111</v>
      </c>
      <c r="S14" t="s">
        <v>32</v>
      </c>
      <c r="T14" t="s">
        <v>112</v>
      </c>
      <c r="U14" t="s">
        <v>166</v>
      </c>
      <c r="V14" t="s">
        <v>77</v>
      </c>
      <c r="W14" t="s">
        <v>101</v>
      </c>
      <c r="X14" t="s">
        <v>167</v>
      </c>
      <c r="Y14" t="s">
        <v>168</v>
      </c>
      <c r="Z14" t="s">
        <v>54</v>
      </c>
      <c r="AA14" t="s">
        <v>162</v>
      </c>
      <c r="AB14" t="s">
        <v>169</v>
      </c>
      <c r="AC14" t="s">
        <v>40</v>
      </c>
      <c r="AD14" t="s">
        <v>54</v>
      </c>
    </row>
    <row r="15" spans="1:30" x14ac:dyDescent="0.25">
      <c r="A15">
        <v>14</v>
      </c>
      <c r="B15" t="s">
        <v>160</v>
      </c>
      <c r="C15" t="s">
        <v>170</v>
      </c>
      <c r="D15" t="s">
        <v>171</v>
      </c>
      <c r="E15" t="s">
        <v>172</v>
      </c>
      <c r="F15" t="s">
        <v>173</v>
      </c>
      <c r="G15" t="s">
        <v>174</v>
      </c>
      <c r="H15">
        <v>77000</v>
      </c>
      <c r="I15">
        <v>5932.2</v>
      </c>
      <c r="J15">
        <v>71067.8</v>
      </c>
      <c r="K15">
        <v>0</v>
      </c>
      <c r="L15">
        <v>18567.8</v>
      </c>
      <c r="M15">
        <f t="shared" si="0"/>
        <v>90860</v>
      </c>
      <c r="N15">
        <f t="shared" si="1"/>
        <v>6999.9959999999992</v>
      </c>
      <c r="O15">
        <f t="shared" si="2"/>
        <v>83860.004000000001</v>
      </c>
      <c r="P15">
        <f t="shared" si="3"/>
        <v>0</v>
      </c>
      <c r="Q15">
        <f t="shared" si="4"/>
        <v>21910.003999999997</v>
      </c>
      <c r="R15" t="s">
        <v>132</v>
      </c>
      <c r="S15" t="s">
        <v>32</v>
      </c>
      <c r="T15" t="s">
        <v>133</v>
      </c>
      <c r="U15" t="s">
        <v>175</v>
      </c>
      <c r="V15" t="s">
        <v>77</v>
      </c>
      <c r="W15" t="s">
        <v>101</v>
      </c>
      <c r="X15" t="s">
        <v>176</v>
      </c>
      <c r="Y15" t="s">
        <v>177</v>
      </c>
      <c r="Z15" t="s">
        <v>54</v>
      </c>
      <c r="AA15" t="s">
        <v>178</v>
      </c>
      <c r="AB15" t="s">
        <v>179</v>
      </c>
      <c r="AC15" t="s">
        <v>54</v>
      </c>
      <c r="AD15" t="s">
        <v>54</v>
      </c>
    </row>
    <row r="16" spans="1:30" x14ac:dyDescent="0.25">
      <c r="A16">
        <v>15</v>
      </c>
      <c r="B16" t="s">
        <v>160</v>
      </c>
      <c r="C16" t="s">
        <v>180</v>
      </c>
      <c r="D16" t="s">
        <v>181</v>
      </c>
      <c r="E16" t="s">
        <v>182</v>
      </c>
      <c r="F16" t="s">
        <v>183</v>
      </c>
      <c r="G16" t="s">
        <v>184</v>
      </c>
      <c r="H16">
        <v>77000.067796999996</v>
      </c>
      <c r="I16">
        <v>169490.15</v>
      </c>
      <c r="J16">
        <v>-92490.082202999998</v>
      </c>
      <c r="K16">
        <v>0</v>
      </c>
      <c r="L16">
        <v>10722.57</v>
      </c>
      <c r="M16">
        <f t="shared" si="0"/>
        <v>90860.080000459988</v>
      </c>
      <c r="N16">
        <f t="shared" si="1"/>
        <v>199998.37699999998</v>
      </c>
      <c r="O16">
        <f t="shared" si="2"/>
        <v>-109138.29699953999</v>
      </c>
      <c r="P16">
        <f t="shared" si="3"/>
        <v>0</v>
      </c>
      <c r="Q16">
        <f t="shared" si="4"/>
        <v>12652.632599999999</v>
      </c>
      <c r="R16" t="s">
        <v>86</v>
      </c>
      <c r="S16" t="s">
        <v>32</v>
      </c>
      <c r="T16" t="s">
        <v>185</v>
      </c>
      <c r="U16" t="s">
        <v>186</v>
      </c>
      <c r="V16" t="s">
        <v>35</v>
      </c>
      <c r="W16" t="s">
        <v>101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</row>
    <row r="17" spans="1:30" x14ac:dyDescent="0.25">
      <c r="A17">
        <v>16</v>
      </c>
      <c r="B17" t="s">
        <v>160</v>
      </c>
      <c r="C17" t="s">
        <v>187</v>
      </c>
      <c r="D17" t="s">
        <v>188</v>
      </c>
      <c r="E17" t="s">
        <v>189</v>
      </c>
      <c r="F17" t="s">
        <v>190</v>
      </c>
      <c r="G17" t="s">
        <v>191</v>
      </c>
      <c r="H17">
        <v>77000.067796999996</v>
      </c>
      <c r="I17">
        <v>100000</v>
      </c>
      <c r="J17">
        <v>-22999.932203000004</v>
      </c>
      <c r="K17">
        <v>0</v>
      </c>
      <c r="L17">
        <v>13958.35</v>
      </c>
      <c r="M17">
        <f t="shared" si="0"/>
        <v>90860.080000459988</v>
      </c>
      <c r="N17">
        <f t="shared" si="1"/>
        <v>118000</v>
      </c>
      <c r="O17">
        <f t="shared" si="2"/>
        <v>-27139.919999540005</v>
      </c>
      <c r="P17">
        <f t="shared" si="3"/>
        <v>0</v>
      </c>
      <c r="Q17">
        <f t="shared" si="4"/>
        <v>16470.852999999999</v>
      </c>
      <c r="R17" t="s">
        <v>86</v>
      </c>
      <c r="S17" t="s">
        <v>32</v>
      </c>
      <c r="T17" t="s">
        <v>185</v>
      </c>
      <c r="U17" t="s">
        <v>192</v>
      </c>
      <c r="V17" t="s">
        <v>35</v>
      </c>
      <c r="W17" t="s">
        <v>36</v>
      </c>
      <c r="X17" t="s">
        <v>193</v>
      </c>
      <c r="Y17" t="s">
        <v>194</v>
      </c>
      <c r="Z17" t="s">
        <v>54</v>
      </c>
      <c r="AA17" t="s">
        <v>54</v>
      </c>
      <c r="AB17" t="s">
        <v>195</v>
      </c>
      <c r="AC17" t="s">
        <v>54</v>
      </c>
      <c r="AD17" t="s">
        <v>54</v>
      </c>
    </row>
    <row r="18" spans="1:30" x14ac:dyDescent="0.25">
      <c r="A18">
        <v>17</v>
      </c>
      <c r="B18" t="s">
        <v>160</v>
      </c>
      <c r="C18" t="s">
        <v>196</v>
      </c>
      <c r="D18" t="s">
        <v>197</v>
      </c>
      <c r="E18" t="s">
        <v>198</v>
      </c>
      <c r="F18" t="s">
        <v>199</v>
      </c>
      <c r="G18" t="s">
        <v>200</v>
      </c>
      <c r="H18">
        <v>68000</v>
      </c>
      <c r="I18">
        <v>0</v>
      </c>
      <c r="J18">
        <v>68000</v>
      </c>
      <c r="K18">
        <v>4237.29</v>
      </c>
      <c r="L18">
        <v>5206.2700000000004</v>
      </c>
      <c r="M18">
        <f t="shared" si="0"/>
        <v>80240</v>
      </c>
      <c r="N18">
        <f t="shared" si="1"/>
        <v>0</v>
      </c>
      <c r="O18">
        <f t="shared" si="2"/>
        <v>80240</v>
      </c>
      <c r="P18">
        <f t="shared" si="3"/>
        <v>5000.0021999999999</v>
      </c>
      <c r="Q18">
        <f t="shared" si="4"/>
        <v>6143.3986000000004</v>
      </c>
      <c r="R18" t="s">
        <v>111</v>
      </c>
      <c r="S18" t="s">
        <v>32</v>
      </c>
      <c r="T18" t="s">
        <v>112</v>
      </c>
      <c r="U18" t="s">
        <v>166</v>
      </c>
      <c r="V18" t="s">
        <v>35</v>
      </c>
      <c r="W18" t="s">
        <v>36</v>
      </c>
      <c r="X18" t="s">
        <v>201</v>
      </c>
      <c r="Y18" t="s">
        <v>202</v>
      </c>
      <c r="Z18" t="s">
        <v>54</v>
      </c>
      <c r="AA18" t="s">
        <v>54</v>
      </c>
      <c r="AB18" t="s">
        <v>203</v>
      </c>
      <c r="AC18" t="s">
        <v>54</v>
      </c>
      <c r="AD18" t="s">
        <v>54</v>
      </c>
    </row>
    <row r="19" spans="1:30" x14ac:dyDescent="0.25">
      <c r="A19">
        <v>18</v>
      </c>
      <c r="B19" t="s">
        <v>204</v>
      </c>
      <c r="C19" t="s">
        <v>205</v>
      </c>
      <c r="D19" t="s">
        <v>206</v>
      </c>
      <c r="E19" t="s">
        <v>207</v>
      </c>
      <c r="F19" t="s">
        <v>208</v>
      </c>
      <c r="G19" t="s">
        <v>209</v>
      </c>
      <c r="H19">
        <v>77000</v>
      </c>
      <c r="I19">
        <v>12711.86</v>
      </c>
      <c r="J19">
        <v>64288.14</v>
      </c>
      <c r="K19">
        <v>0</v>
      </c>
      <c r="L19">
        <v>9685.5399999999991</v>
      </c>
      <c r="M19">
        <f t="shared" si="0"/>
        <v>90860</v>
      </c>
      <c r="N19">
        <f t="shared" si="1"/>
        <v>14999.9948</v>
      </c>
      <c r="O19">
        <f t="shared" si="2"/>
        <v>75860.0052</v>
      </c>
      <c r="P19">
        <f t="shared" si="3"/>
        <v>0</v>
      </c>
      <c r="Q19">
        <f t="shared" si="4"/>
        <v>11428.937199999998</v>
      </c>
      <c r="R19" t="s">
        <v>132</v>
      </c>
      <c r="S19" t="s">
        <v>32</v>
      </c>
      <c r="T19" t="s">
        <v>185</v>
      </c>
      <c r="U19" t="s">
        <v>192</v>
      </c>
      <c r="V19" t="s">
        <v>77</v>
      </c>
      <c r="W19" t="s">
        <v>101</v>
      </c>
      <c r="X19" t="s">
        <v>210</v>
      </c>
      <c r="Y19" t="s">
        <v>211</v>
      </c>
      <c r="Z19" t="s">
        <v>54</v>
      </c>
      <c r="AA19" t="s">
        <v>212</v>
      </c>
      <c r="AB19" t="s">
        <v>213</v>
      </c>
      <c r="AC19" t="s">
        <v>40</v>
      </c>
      <c r="AD19" t="s">
        <v>214</v>
      </c>
    </row>
    <row r="20" spans="1:30" x14ac:dyDescent="0.25">
      <c r="A20">
        <v>19</v>
      </c>
      <c r="B20" t="s">
        <v>204</v>
      </c>
      <c r="C20" t="s">
        <v>215</v>
      </c>
      <c r="D20" t="s">
        <v>216</v>
      </c>
      <c r="E20" t="s">
        <v>217</v>
      </c>
      <c r="F20" t="s">
        <v>218</v>
      </c>
      <c r="G20" t="s">
        <v>219</v>
      </c>
      <c r="H20">
        <v>77000</v>
      </c>
      <c r="I20">
        <v>4000237.29</v>
      </c>
      <c r="J20">
        <v>-3923237.29</v>
      </c>
      <c r="K20">
        <v>8474.58</v>
      </c>
      <c r="L20">
        <v>1020.79</v>
      </c>
      <c r="M20">
        <f t="shared" si="0"/>
        <v>90860</v>
      </c>
      <c r="N20">
        <f t="shared" si="1"/>
        <v>4720280.0022</v>
      </c>
      <c r="O20">
        <f t="shared" si="2"/>
        <v>-4629420.0022</v>
      </c>
      <c r="P20">
        <f t="shared" si="3"/>
        <v>10000.0044</v>
      </c>
      <c r="Q20">
        <f t="shared" si="4"/>
        <v>1204.5321999999999</v>
      </c>
      <c r="R20" t="s">
        <v>132</v>
      </c>
      <c r="S20" t="s">
        <v>32</v>
      </c>
      <c r="T20" t="s">
        <v>185</v>
      </c>
      <c r="U20" t="s">
        <v>192</v>
      </c>
      <c r="V20" t="s">
        <v>35</v>
      </c>
      <c r="W20" t="s">
        <v>101</v>
      </c>
      <c r="X20" t="s">
        <v>220</v>
      </c>
      <c r="Y20" t="s">
        <v>221</v>
      </c>
      <c r="Z20" t="s">
        <v>54</v>
      </c>
      <c r="AA20" t="s">
        <v>54</v>
      </c>
      <c r="AB20" t="s">
        <v>222</v>
      </c>
      <c r="AC20" t="s">
        <v>54</v>
      </c>
      <c r="AD20" t="s">
        <v>54</v>
      </c>
    </row>
    <row r="21" spans="1:30" x14ac:dyDescent="0.25">
      <c r="A21">
        <v>20</v>
      </c>
      <c r="B21" t="s">
        <v>204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>
        <v>77000</v>
      </c>
      <c r="I21">
        <v>50000</v>
      </c>
      <c r="J21">
        <v>27000</v>
      </c>
      <c r="K21">
        <v>0</v>
      </c>
      <c r="L21">
        <v>9000</v>
      </c>
      <c r="M21">
        <f t="shared" si="0"/>
        <v>90860</v>
      </c>
      <c r="N21">
        <f t="shared" si="1"/>
        <v>59000</v>
      </c>
      <c r="O21">
        <f t="shared" si="2"/>
        <v>31860</v>
      </c>
      <c r="P21">
        <f t="shared" si="3"/>
        <v>0</v>
      </c>
      <c r="Q21">
        <f t="shared" si="4"/>
        <v>10620</v>
      </c>
      <c r="R21" t="s">
        <v>132</v>
      </c>
      <c r="S21" t="s">
        <v>32</v>
      </c>
      <c r="T21" t="s">
        <v>185</v>
      </c>
      <c r="U21" t="s">
        <v>186</v>
      </c>
      <c r="V21" t="s">
        <v>77</v>
      </c>
      <c r="W21" t="s">
        <v>101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</row>
    <row r="22" spans="1:30" x14ac:dyDescent="0.25">
      <c r="A22">
        <v>21</v>
      </c>
      <c r="B22" t="s">
        <v>204</v>
      </c>
      <c r="C22" t="s">
        <v>228</v>
      </c>
      <c r="D22" t="s">
        <v>229</v>
      </c>
      <c r="E22" t="s">
        <v>230</v>
      </c>
      <c r="F22" t="s">
        <v>231</v>
      </c>
      <c r="G22" t="s">
        <v>232</v>
      </c>
      <c r="H22">
        <v>77000</v>
      </c>
      <c r="I22">
        <v>49991</v>
      </c>
      <c r="J22">
        <v>27009</v>
      </c>
      <c r="K22">
        <v>3474.58</v>
      </c>
      <c r="L22">
        <v>5524.4800000000005</v>
      </c>
      <c r="M22">
        <f t="shared" si="0"/>
        <v>90860</v>
      </c>
      <c r="N22">
        <f t="shared" si="1"/>
        <v>58989.38</v>
      </c>
      <c r="O22">
        <f t="shared" si="2"/>
        <v>31870.62</v>
      </c>
      <c r="P22">
        <f t="shared" si="3"/>
        <v>4100.0043999999998</v>
      </c>
      <c r="Q22">
        <f t="shared" si="4"/>
        <v>6518.8864000000003</v>
      </c>
      <c r="R22" t="s">
        <v>132</v>
      </c>
      <c r="S22" t="s">
        <v>32</v>
      </c>
      <c r="T22" t="s">
        <v>185</v>
      </c>
      <c r="U22" t="s">
        <v>192</v>
      </c>
      <c r="V22" t="s">
        <v>35</v>
      </c>
      <c r="W22" t="s">
        <v>101</v>
      </c>
      <c r="X22" t="s">
        <v>233</v>
      </c>
      <c r="Y22" t="s">
        <v>234</v>
      </c>
      <c r="Z22" t="s">
        <v>54</v>
      </c>
      <c r="AA22" t="s">
        <v>54</v>
      </c>
      <c r="AB22" t="s">
        <v>235</v>
      </c>
      <c r="AC22" t="s">
        <v>54</v>
      </c>
      <c r="AD22" t="s">
        <v>54</v>
      </c>
    </row>
    <row r="23" spans="1:30" x14ac:dyDescent="0.25">
      <c r="A23">
        <v>22</v>
      </c>
      <c r="B23" t="s">
        <v>204</v>
      </c>
      <c r="C23" t="s">
        <v>236</v>
      </c>
      <c r="D23" t="s">
        <v>237</v>
      </c>
      <c r="E23" t="s">
        <v>238</v>
      </c>
      <c r="F23" t="s">
        <v>239</v>
      </c>
      <c r="G23" t="s">
        <v>240</v>
      </c>
      <c r="H23">
        <v>76271.19</v>
      </c>
      <c r="I23">
        <v>25423.73</v>
      </c>
      <c r="J23">
        <v>50847.460000000006</v>
      </c>
      <c r="K23">
        <v>0</v>
      </c>
      <c r="L23">
        <v>23084.749999999996</v>
      </c>
      <c r="M23">
        <f t="shared" si="0"/>
        <v>90000.004199999996</v>
      </c>
      <c r="N23">
        <f t="shared" si="1"/>
        <v>30000.001399999997</v>
      </c>
      <c r="O23">
        <f t="shared" si="2"/>
        <v>60000.002800000002</v>
      </c>
      <c r="P23">
        <f t="shared" si="3"/>
        <v>0</v>
      </c>
      <c r="Q23">
        <f t="shared" si="4"/>
        <v>27240.004999999994</v>
      </c>
      <c r="R23" t="s">
        <v>132</v>
      </c>
      <c r="S23" t="s">
        <v>32</v>
      </c>
      <c r="T23" t="s">
        <v>133</v>
      </c>
      <c r="U23" t="s">
        <v>134</v>
      </c>
      <c r="V23" t="s">
        <v>35</v>
      </c>
      <c r="W23" t="s">
        <v>101</v>
      </c>
      <c r="X23" t="s">
        <v>241</v>
      </c>
      <c r="Y23" t="s">
        <v>242</v>
      </c>
      <c r="Z23" t="s">
        <v>54</v>
      </c>
      <c r="AA23" t="s">
        <v>243</v>
      </c>
      <c r="AB23" t="s">
        <v>244</v>
      </c>
      <c r="AC23" t="s">
        <v>54</v>
      </c>
      <c r="AD23" t="s">
        <v>54</v>
      </c>
    </row>
    <row r="24" spans="1:30" x14ac:dyDescent="0.25">
      <c r="A24">
        <v>23</v>
      </c>
      <c r="B24" t="s">
        <v>245</v>
      </c>
      <c r="C24" t="s">
        <v>246</v>
      </c>
      <c r="D24" t="s">
        <v>247</v>
      </c>
      <c r="E24" t="s">
        <v>248</v>
      </c>
      <c r="F24" t="s">
        <v>249</v>
      </c>
      <c r="G24" t="s">
        <v>250</v>
      </c>
      <c r="H24">
        <v>77000</v>
      </c>
      <c r="I24">
        <v>50000</v>
      </c>
      <c r="J24">
        <v>27000</v>
      </c>
      <c r="K24">
        <v>2588.9500000000012</v>
      </c>
      <c r="L24">
        <v>5524.4699999999993</v>
      </c>
      <c r="M24">
        <f t="shared" si="0"/>
        <v>90860</v>
      </c>
      <c r="N24">
        <f t="shared" si="1"/>
        <v>59000</v>
      </c>
      <c r="O24">
        <f t="shared" si="2"/>
        <v>31860</v>
      </c>
      <c r="P24">
        <f t="shared" si="3"/>
        <v>3054.9610000000011</v>
      </c>
      <c r="Q24">
        <f t="shared" si="4"/>
        <v>6518.8745999999992</v>
      </c>
      <c r="R24" t="s">
        <v>132</v>
      </c>
      <c r="S24" t="s">
        <v>32</v>
      </c>
      <c r="T24" t="s">
        <v>185</v>
      </c>
      <c r="U24" t="s">
        <v>192</v>
      </c>
      <c r="V24" t="s">
        <v>35</v>
      </c>
      <c r="W24" t="s">
        <v>101</v>
      </c>
      <c r="X24" t="s">
        <v>251</v>
      </c>
      <c r="Y24" t="s">
        <v>252</v>
      </c>
      <c r="Z24" t="s">
        <v>54</v>
      </c>
      <c r="AA24" t="s">
        <v>54</v>
      </c>
      <c r="AB24" t="s">
        <v>253</v>
      </c>
      <c r="AC24" t="s">
        <v>54</v>
      </c>
      <c r="AD24" t="s">
        <v>54</v>
      </c>
    </row>
    <row r="25" spans="1:30" x14ac:dyDescent="0.25">
      <c r="A25">
        <v>24</v>
      </c>
      <c r="B25" t="s">
        <v>245</v>
      </c>
      <c r="C25" t="s">
        <v>254</v>
      </c>
      <c r="D25" t="s">
        <v>255</v>
      </c>
      <c r="E25" t="s">
        <v>256</v>
      </c>
      <c r="F25" t="s">
        <v>257</v>
      </c>
      <c r="G25" t="s">
        <v>258</v>
      </c>
      <c r="H25">
        <v>77000</v>
      </c>
      <c r="I25">
        <v>50000</v>
      </c>
      <c r="J25">
        <v>27000</v>
      </c>
      <c r="K25">
        <v>0</v>
      </c>
      <c r="L25">
        <v>9000</v>
      </c>
      <c r="M25">
        <f t="shared" si="0"/>
        <v>90860</v>
      </c>
      <c r="N25">
        <f t="shared" si="1"/>
        <v>59000</v>
      </c>
      <c r="O25">
        <f t="shared" si="2"/>
        <v>31860</v>
      </c>
      <c r="P25">
        <f t="shared" si="3"/>
        <v>0</v>
      </c>
      <c r="Q25">
        <f t="shared" si="4"/>
        <v>10620</v>
      </c>
      <c r="R25" t="s">
        <v>132</v>
      </c>
      <c r="S25" t="s">
        <v>32</v>
      </c>
      <c r="T25" t="s">
        <v>185</v>
      </c>
      <c r="U25" t="s">
        <v>192</v>
      </c>
      <c r="V25" t="s">
        <v>35</v>
      </c>
      <c r="W25" t="s">
        <v>101</v>
      </c>
      <c r="X25" t="s">
        <v>259</v>
      </c>
      <c r="Y25" t="s">
        <v>234</v>
      </c>
      <c r="Z25" t="s">
        <v>256</v>
      </c>
      <c r="AA25" t="s">
        <v>260</v>
      </c>
      <c r="AB25" t="s">
        <v>261</v>
      </c>
      <c r="AC25" t="s">
        <v>262</v>
      </c>
      <c r="AD25" t="s">
        <v>214</v>
      </c>
    </row>
    <row r="26" spans="1:30" x14ac:dyDescent="0.25">
      <c r="A26">
        <v>25</v>
      </c>
      <c r="B26" t="s">
        <v>263</v>
      </c>
      <c r="C26" t="s">
        <v>264</v>
      </c>
      <c r="D26" t="s">
        <v>265</v>
      </c>
      <c r="E26" t="s">
        <v>266</v>
      </c>
      <c r="F26" t="s">
        <v>267</v>
      </c>
      <c r="G26" t="s">
        <v>268</v>
      </c>
      <c r="H26">
        <v>77000</v>
      </c>
      <c r="I26">
        <v>8000474.5800000001</v>
      </c>
      <c r="J26">
        <v>-7923474.5800000001</v>
      </c>
      <c r="K26">
        <v>0</v>
      </c>
      <c r="L26">
        <v>15285.789999999995</v>
      </c>
      <c r="M26">
        <f t="shared" si="0"/>
        <v>90860</v>
      </c>
      <c r="N26">
        <f t="shared" si="1"/>
        <v>9440560.0044</v>
      </c>
      <c r="O26">
        <f t="shared" si="2"/>
        <v>-9349700.0044</v>
      </c>
      <c r="P26">
        <f t="shared" si="3"/>
        <v>0</v>
      </c>
      <c r="Q26">
        <f t="shared" si="4"/>
        <v>18037.232199999995</v>
      </c>
      <c r="R26" t="s">
        <v>132</v>
      </c>
      <c r="S26" t="s">
        <v>32</v>
      </c>
      <c r="T26" t="s">
        <v>185</v>
      </c>
      <c r="U26" t="s">
        <v>186</v>
      </c>
      <c r="V26" t="s">
        <v>77</v>
      </c>
      <c r="W26" t="s">
        <v>51</v>
      </c>
      <c r="X26" t="s">
        <v>269</v>
      </c>
      <c r="Y26" t="s">
        <v>270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</row>
    <row r="27" spans="1:30" x14ac:dyDescent="0.25">
      <c r="A27">
        <v>26</v>
      </c>
      <c r="B27" t="s">
        <v>263</v>
      </c>
      <c r="C27" t="s">
        <v>271</v>
      </c>
      <c r="D27" t="s">
        <v>272</v>
      </c>
      <c r="E27" t="s">
        <v>273</v>
      </c>
      <c r="F27" t="s">
        <v>274</v>
      </c>
      <c r="G27" t="s">
        <v>275</v>
      </c>
      <c r="H27">
        <v>77000</v>
      </c>
      <c r="I27">
        <v>8198276.5800000001</v>
      </c>
      <c r="J27">
        <v>-8121276.5800000001</v>
      </c>
      <c r="K27">
        <v>0</v>
      </c>
      <c r="L27">
        <v>15038.399999999996</v>
      </c>
      <c r="M27">
        <f t="shared" si="0"/>
        <v>90860</v>
      </c>
      <c r="N27">
        <f t="shared" si="1"/>
        <v>9673966.3643999994</v>
      </c>
      <c r="O27">
        <f t="shared" si="2"/>
        <v>-9583106.3643999994</v>
      </c>
      <c r="P27">
        <f t="shared" si="3"/>
        <v>0</v>
      </c>
      <c r="Q27">
        <f t="shared" si="4"/>
        <v>17745.311999999994</v>
      </c>
      <c r="R27" t="s">
        <v>132</v>
      </c>
      <c r="S27" t="s">
        <v>32</v>
      </c>
      <c r="T27" t="s">
        <v>185</v>
      </c>
      <c r="U27" t="s">
        <v>186</v>
      </c>
      <c r="V27" t="s">
        <v>77</v>
      </c>
      <c r="W27" t="s">
        <v>51</v>
      </c>
      <c r="X27" t="s">
        <v>54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</row>
    <row r="28" spans="1:30" x14ac:dyDescent="0.25">
      <c r="A28">
        <v>27</v>
      </c>
      <c r="B28" t="s">
        <v>263</v>
      </c>
      <c r="C28" t="s">
        <v>276</v>
      </c>
      <c r="D28" t="s">
        <v>277</v>
      </c>
      <c r="E28" t="s">
        <v>278</v>
      </c>
      <c r="F28" t="s">
        <v>279</v>
      </c>
      <c r="G28" t="s">
        <v>280</v>
      </c>
      <c r="H28">
        <v>77000</v>
      </c>
      <c r="I28">
        <v>50000</v>
      </c>
      <c r="J28">
        <v>27000</v>
      </c>
      <c r="K28">
        <v>0</v>
      </c>
      <c r="L28">
        <v>9000</v>
      </c>
      <c r="M28">
        <f t="shared" si="0"/>
        <v>90860</v>
      </c>
      <c r="N28">
        <f t="shared" si="1"/>
        <v>59000</v>
      </c>
      <c r="O28">
        <f t="shared" si="2"/>
        <v>31860</v>
      </c>
      <c r="P28">
        <f t="shared" si="3"/>
        <v>0</v>
      </c>
      <c r="Q28">
        <f t="shared" si="4"/>
        <v>10620</v>
      </c>
      <c r="R28" t="s">
        <v>132</v>
      </c>
      <c r="S28" t="s">
        <v>32</v>
      </c>
      <c r="T28" t="s">
        <v>185</v>
      </c>
      <c r="U28" t="s">
        <v>192</v>
      </c>
      <c r="V28" t="s">
        <v>77</v>
      </c>
      <c r="W28" t="s">
        <v>101</v>
      </c>
      <c r="X28" t="s">
        <v>281</v>
      </c>
      <c r="Y28" t="s">
        <v>282</v>
      </c>
      <c r="Z28" t="s">
        <v>54</v>
      </c>
      <c r="AA28" t="s">
        <v>283</v>
      </c>
      <c r="AB28" t="s">
        <v>284</v>
      </c>
      <c r="AC28" t="s">
        <v>262</v>
      </c>
      <c r="AD28" t="s">
        <v>214</v>
      </c>
    </row>
    <row r="29" spans="1:30" x14ac:dyDescent="0.25">
      <c r="A29">
        <v>28</v>
      </c>
      <c r="B29" t="s">
        <v>263</v>
      </c>
      <c r="C29" t="s">
        <v>285</v>
      </c>
      <c r="D29" t="s">
        <v>286</v>
      </c>
      <c r="E29" t="s">
        <v>287</v>
      </c>
      <c r="F29" t="s">
        <v>288</v>
      </c>
      <c r="G29" t="s">
        <v>289</v>
      </c>
      <c r="H29">
        <v>77000</v>
      </c>
      <c r="I29">
        <v>50000</v>
      </c>
      <c r="J29">
        <v>27000</v>
      </c>
      <c r="K29">
        <v>0</v>
      </c>
      <c r="L29">
        <v>9000</v>
      </c>
      <c r="M29">
        <f t="shared" si="0"/>
        <v>90860</v>
      </c>
      <c r="N29">
        <f t="shared" si="1"/>
        <v>59000</v>
      </c>
      <c r="O29">
        <f t="shared" si="2"/>
        <v>31860</v>
      </c>
      <c r="P29">
        <f t="shared" si="3"/>
        <v>0</v>
      </c>
      <c r="Q29">
        <f t="shared" si="4"/>
        <v>10620</v>
      </c>
      <c r="R29" t="s">
        <v>132</v>
      </c>
      <c r="S29" t="s">
        <v>32</v>
      </c>
      <c r="T29" t="s">
        <v>185</v>
      </c>
      <c r="U29" t="s">
        <v>192</v>
      </c>
      <c r="V29" t="s">
        <v>35</v>
      </c>
      <c r="W29" t="s">
        <v>101</v>
      </c>
      <c r="X29" t="s">
        <v>290</v>
      </c>
      <c r="Y29" t="s">
        <v>291</v>
      </c>
      <c r="Z29" t="s">
        <v>54</v>
      </c>
      <c r="AA29" t="s">
        <v>292</v>
      </c>
      <c r="AB29" t="s">
        <v>293</v>
      </c>
      <c r="AC29" t="s">
        <v>40</v>
      </c>
      <c r="AD29" t="s">
        <v>214</v>
      </c>
    </row>
    <row r="30" spans="1:30" x14ac:dyDescent="0.25">
      <c r="A30">
        <v>29</v>
      </c>
      <c r="B30" t="s">
        <v>263</v>
      </c>
      <c r="C30" t="s">
        <v>294</v>
      </c>
      <c r="D30" t="s">
        <v>295</v>
      </c>
      <c r="E30" t="s">
        <v>296</v>
      </c>
      <c r="F30" t="s">
        <v>297</v>
      </c>
      <c r="G30" t="s">
        <v>298</v>
      </c>
      <c r="H30">
        <v>96000.067796999996</v>
      </c>
      <c r="I30">
        <v>4237.29</v>
      </c>
      <c r="J30">
        <v>91762.777797000002</v>
      </c>
      <c r="K30">
        <v>0</v>
      </c>
      <c r="L30">
        <v>25299.949999999997</v>
      </c>
      <c r="M30">
        <f t="shared" si="0"/>
        <v>113280.08000045999</v>
      </c>
      <c r="N30">
        <f t="shared" si="1"/>
        <v>5000.0021999999999</v>
      </c>
      <c r="O30">
        <f t="shared" si="2"/>
        <v>108280.07780046</v>
      </c>
      <c r="P30">
        <f t="shared" si="3"/>
        <v>0</v>
      </c>
      <c r="Q30">
        <f t="shared" si="4"/>
        <v>29853.940999999995</v>
      </c>
      <c r="R30" t="s">
        <v>86</v>
      </c>
      <c r="S30" t="s">
        <v>32</v>
      </c>
      <c r="T30" t="s">
        <v>299</v>
      </c>
      <c r="U30" t="s">
        <v>300</v>
      </c>
      <c r="V30" t="s">
        <v>35</v>
      </c>
      <c r="W30" t="s">
        <v>101</v>
      </c>
      <c r="X30" t="s">
        <v>301</v>
      </c>
      <c r="Y30" t="s">
        <v>302</v>
      </c>
      <c r="Z30" t="s">
        <v>54</v>
      </c>
      <c r="AA30" t="s">
        <v>303</v>
      </c>
      <c r="AB30" t="s">
        <v>304</v>
      </c>
      <c r="AC30" t="s">
        <v>40</v>
      </c>
      <c r="AD30" t="s">
        <v>305</v>
      </c>
    </row>
    <row r="31" spans="1:30" x14ac:dyDescent="0.25">
      <c r="A31">
        <v>30</v>
      </c>
      <c r="B31" t="s">
        <v>306</v>
      </c>
      <c r="C31" t="s">
        <v>307</v>
      </c>
      <c r="D31" t="s">
        <v>308</v>
      </c>
      <c r="E31" t="s">
        <v>309</v>
      </c>
      <c r="F31" t="s">
        <v>310</v>
      </c>
      <c r="G31" t="s">
        <v>311</v>
      </c>
      <c r="H31">
        <v>77000</v>
      </c>
      <c r="I31">
        <v>2542.37</v>
      </c>
      <c r="J31">
        <v>74457.63</v>
      </c>
      <c r="K31">
        <v>0</v>
      </c>
      <c r="L31">
        <v>12407.630000000001</v>
      </c>
      <c r="M31">
        <f t="shared" si="0"/>
        <v>90860</v>
      </c>
      <c r="N31">
        <f t="shared" si="1"/>
        <v>2999.9965999999995</v>
      </c>
      <c r="O31">
        <f t="shared" si="2"/>
        <v>87860.003400000001</v>
      </c>
      <c r="P31">
        <f t="shared" si="3"/>
        <v>0</v>
      </c>
      <c r="Q31">
        <f t="shared" si="4"/>
        <v>14641.0034</v>
      </c>
      <c r="R31" t="s">
        <v>132</v>
      </c>
      <c r="S31" t="s">
        <v>32</v>
      </c>
      <c r="T31" t="s">
        <v>133</v>
      </c>
      <c r="U31" t="s">
        <v>175</v>
      </c>
      <c r="V31" t="s">
        <v>35</v>
      </c>
      <c r="W31" t="s">
        <v>101</v>
      </c>
      <c r="X31" t="s">
        <v>312</v>
      </c>
      <c r="Y31" t="s">
        <v>313</v>
      </c>
      <c r="Z31" t="s">
        <v>54</v>
      </c>
      <c r="AA31" t="s">
        <v>54</v>
      </c>
      <c r="AB31" t="s">
        <v>314</v>
      </c>
      <c r="AC31" t="s">
        <v>54</v>
      </c>
      <c r="AD31" t="s">
        <v>54</v>
      </c>
    </row>
    <row r="32" spans="1:30" x14ac:dyDescent="0.25">
      <c r="A32">
        <v>31</v>
      </c>
      <c r="B32" t="s">
        <v>315</v>
      </c>
      <c r="C32" t="s">
        <v>316</v>
      </c>
      <c r="D32" t="s">
        <v>317</v>
      </c>
      <c r="E32" t="s">
        <v>318</v>
      </c>
      <c r="F32" t="s">
        <v>319</v>
      </c>
      <c r="G32" t="s">
        <v>320</v>
      </c>
      <c r="H32">
        <v>77000</v>
      </c>
      <c r="I32">
        <v>4237.29</v>
      </c>
      <c r="J32">
        <v>72762.710000000006</v>
      </c>
      <c r="K32">
        <v>0</v>
      </c>
      <c r="L32">
        <v>6762.71</v>
      </c>
      <c r="M32">
        <f t="shared" si="0"/>
        <v>90860</v>
      </c>
      <c r="N32">
        <f t="shared" si="1"/>
        <v>5000.0021999999999</v>
      </c>
      <c r="O32">
        <f t="shared" si="2"/>
        <v>85859.997799999997</v>
      </c>
      <c r="P32">
        <f t="shared" si="3"/>
        <v>0</v>
      </c>
      <c r="Q32">
        <f t="shared" si="4"/>
        <v>7979.9977999999992</v>
      </c>
      <c r="R32" t="s">
        <v>132</v>
      </c>
      <c r="S32" t="s">
        <v>32</v>
      </c>
      <c r="T32" t="s">
        <v>133</v>
      </c>
      <c r="U32" t="s">
        <v>175</v>
      </c>
      <c r="V32" t="s">
        <v>77</v>
      </c>
      <c r="W32" t="s">
        <v>51</v>
      </c>
      <c r="X32" t="s">
        <v>321</v>
      </c>
      <c r="Y32" t="s">
        <v>322</v>
      </c>
      <c r="Z32" t="s">
        <v>54</v>
      </c>
      <c r="AA32" t="s">
        <v>54</v>
      </c>
      <c r="AB32" t="s">
        <v>323</v>
      </c>
      <c r="AC32" t="s">
        <v>54</v>
      </c>
      <c r="AD32" t="s">
        <v>54</v>
      </c>
    </row>
    <row r="33" spans="1:30" x14ac:dyDescent="0.25">
      <c r="A33">
        <v>32</v>
      </c>
      <c r="B33" t="s">
        <v>324</v>
      </c>
      <c r="C33" t="s">
        <v>325</v>
      </c>
      <c r="D33" t="s">
        <v>326</v>
      </c>
      <c r="E33" t="s">
        <v>327</v>
      </c>
      <c r="F33" t="s">
        <v>328</v>
      </c>
      <c r="G33" t="s">
        <v>329</v>
      </c>
      <c r="H33">
        <v>64294</v>
      </c>
      <c r="I33">
        <v>1694.92</v>
      </c>
      <c r="J33">
        <v>62599.08</v>
      </c>
      <c r="K33">
        <v>1694.92</v>
      </c>
      <c r="L33">
        <v>4323.92</v>
      </c>
      <c r="M33">
        <f t="shared" si="0"/>
        <v>75866.92</v>
      </c>
      <c r="N33">
        <f t="shared" si="1"/>
        <v>2000.0056</v>
      </c>
      <c r="O33">
        <f t="shared" si="2"/>
        <v>73866.914399999994</v>
      </c>
      <c r="P33">
        <f t="shared" si="3"/>
        <v>2000.0056</v>
      </c>
      <c r="Q33">
        <f t="shared" si="4"/>
        <v>5102.2255999999998</v>
      </c>
      <c r="R33" t="s">
        <v>111</v>
      </c>
      <c r="S33" t="s">
        <v>32</v>
      </c>
      <c r="T33" t="s">
        <v>330</v>
      </c>
      <c r="U33" t="s">
        <v>331</v>
      </c>
      <c r="V33" t="s">
        <v>35</v>
      </c>
      <c r="W33" t="s">
        <v>101</v>
      </c>
      <c r="X33" t="s">
        <v>332</v>
      </c>
      <c r="Y33" t="s">
        <v>333</v>
      </c>
      <c r="Z33" t="s">
        <v>54</v>
      </c>
      <c r="AA33" t="s">
        <v>54</v>
      </c>
      <c r="AB33" t="s">
        <v>334</v>
      </c>
      <c r="AC33" t="s">
        <v>54</v>
      </c>
      <c r="AD33" t="s">
        <v>54</v>
      </c>
    </row>
    <row r="34" spans="1:30" x14ac:dyDescent="0.25">
      <c r="A34">
        <v>33</v>
      </c>
      <c r="B34" t="s">
        <v>335</v>
      </c>
      <c r="C34" t="s">
        <v>336</v>
      </c>
      <c r="D34" t="s">
        <v>337</v>
      </c>
      <c r="E34" t="s">
        <v>338</v>
      </c>
      <c r="F34" t="s">
        <v>339</v>
      </c>
      <c r="G34" t="s">
        <v>340</v>
      </c>
      <c r="H34">
        <v>76271.188644059992</v>
      </c>
      <c r="I34">
        <v>0</v>
      </c>
      <c r="J34">
        <v>76271.188644059992</v>
      </c>
      <c r="K34">
        <v>18644.060000000001</v>
      </c>
      <c r="L34">
        <v>4237.0599999999995</v>
      </c>
      <c r="M34">
        <f t="shared" si="0"/>
        <v>90000.002599990781</v>
      </c>
      <c r="N34">
        <f t="shared" si="1"/>
        <v>0</v>
      </c>
      <c r="O34">
        <f t="shared" si="2"/>
        <v>90000.002599990781</v>
      </c>
      <c r="P34">
        <f t="shared" si="3"/>
        <v>21999.9908</v>
      </c>
      <c r="Q34">
        <f t="shared" si="4"/>
        <v>4999.7307999999994</v>
      </c>
      <c r="R34" t="s">
        <v>98</v>
      </c>
      <c r="S34" t="s">
        <v>32</v>
      </c>
      <c r="T34" t="s">
        <v>112</v>
      </c>
      <c r="U34" t="s">
        <v>113</v>
      </c>
      <c r="V34" t="s">
        <v>77</v>
      </c>
      <c r="W34" t="s">
        <v>51</v>
      </c>
      <c r="X34" t="s">
        <v>341</v>
      </c>
      <c r="Y34" t="s">
        <v>54</v>
      </c>
      <c r="Z34" t="s">
        <v>337</v>
      </c>
      <c r="AA34" t="s">
        <v>342</v>
      </c>
      <c r="AB34" t="s">
        <v>54</v>
      </c>
      <c r="AC34" t="s">
        <v>54</v>
      </c>
      <c r="AD34" t="s">
        <v>54</v>
      </c>
    </row>
    <row r="35" spans="1:30" x14ac:dyDescent="0.25">
      <c r="A35">
        <v>34</v>
      </c>
      <c r="B35" t="s">
        <v>335</v>
      </c>
      <c r="C35" t="s">
        <v>343</v>
      </c>
      <c r="D35" t="s">
        <v>344</v>
      </c>
      <c r="E35" t="s">
        <v>345</v>
      </c>
      <c r="F35" t="s">
        <v>346</v>
      </c>
      <c r="G35" t="s">
        <v>347</v>
      </c>
      <c r="H35">
        <v>64294</v>
      </c>
      <c r="I35">
        <v>423.73</v>
      </c>
      <c r="J35">
        <v>63870.27</v>
      </c>
      <c r="K35">
        <v>423.73</v>
      </c>
      <c r="L35">
        <v>8336.7799999999988</v>
      </c>
      <c r="M35">
        <f t="shared" si="0"/>
        <v>75866.92</v>
      </c>
      <c r="N35">
        <f t="shared" si="1"/>
        <v>500.00139999999999</v>
      </c>
      <c r="O35">
        <f t="shared" si="2"/>
        <v>75366.91859999999</v>
      </c>
      <c r="P35">
        <f t="shared" si="3"/>
        <v>500.00139999999999</v>
      </c>
      <c r="Q35">
        <f t="shared" si="4"/>
        <v>9837.4003999999986</v>
      </c>
      <c r="R35" t="s">
        <v>111</v>
      </c>
      <c r="S35" t="s">
        <v>32</v>
      </c>
      <c r="T35" t="s">
        <v>330</v>
      </c>
      <c r="U35" t="s">
        <v>331</v>
      </c>
      <c r="V35" t="s">
        <v>77</v>
      </c>
      <c r="W35" t="s">
        <v>101</v>
      </c>
      <c r="X35" t="s">
        <v>348</v>
      </c>
      <c r="Y35" t="s">
        <v>349</v>
      </c>
      <c r="Z35" t="s">
        <v>54</v>
      </c>
      <c r="AA35" t="s">
        <v>54</v>
      </c>
      <c r="AB35" t="s">
        <v>350</v>
      </c>
      <c r="AC35" t="s">
        <v>54</v>
      </c>
      <c r="AD35" t="s">
        <v>54</v>
      </c>
    </row>
    <row r="36" spans="1:30" x14ac:dyDescent="0.25">
      <c r="A36">
        <v>35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 t="s">
        <v>356</v>
      </c>
      <c r="H36">
        <v>165254.54</v>
      </c>
      <c r="I36">
        <v>4237.29</v>
      </c>
      <c r="J36">
        <v>161017.25</v>
      </c>
      <c r="K36">
        <v>0</v>
      </c>
      <c r="L36">
        <v>14117.27</v>
      </c>
      <c r="M36">
        <f t="shared" si="0"/>
        <v>195000.3572</v>
      </c>
      <c r="N36">
        <f t="shared" si="1"/>
        <v>5000.0021999999999</v>
      </c>
      <c r="O36">
        <f t="shared" si="2"/>
        <v>190000.35499999998</v>
      </c>
      <c r="P36">
        <f t="shared" si="3"/>
        <v>0</v>
      </c>
      <c r="Q36">
        <f t="shared" si="4"/>
        <v>16658.3786</v>
      </c>
      <c r="R36" t="s">
        <v>48</v>
      </c>
      <c r="S36" t="s">
        <v>32</v>
      </c>
      <c r="T36" t="s">
        <v>133</v>
      </c>
      <c r="U36" t="s">
        <v>175</v>
      </c>
      <c r="V36" t="s">
        <v>35</v>
      </c>
      <c r="W36" t="s">
        <v>101</v>
      </c>
      <c r="X36" t="s">
        <v>357</v>
      </c>
      <c r="Y36" t="s">
        <v>242</v>
      </c>
      <c r="Z36" t="s">
        <v>54</v>
      </c>
      <c r="AA36" t="s">
        <v>54</v>
      </c>
      <c r="AB36" t="s">
        <v>358</v>
      </c>
      <c r="AC36" t="s">
        <v>54</v>
      </c>
      <c r="AD36" t="s">
        <v>54</v>
      </c>
    </row>
    <row r="37" spans="1:30" x14ac:dyDescent="0.25">
      <c r="A37">
        <v>36</v>
      </c>
      <c r="B37" t="s">
        <v>351</v>
      </c>
      <c r="C37" t="s">
        <v>359</v>
      </c>
      <c r="D37" t="s">
        <v>360</v>
      </c>
      <c r="E37" t="s">
        <v>361</v>
      </c>
      <c r="F37" t="s">
        <v>362</v>
      </c>
      <c r="G37" t="s">
        <v>363</v>
      </c>
      <c r="H37">
        <v>76194</v>
      </c>
      <c r="I37">
        <v>4237.29</v>
      </c>
      <c r="J37">
        <v>71956.710000000006</v>
      </c>
      <c r="K37">
        <v>0</v>
      </c>
      <c r="L37">
        <v>6865.0399999999991</v>
      </c>
      <c r="M37">
        <f t="shared" si="0"/>
        <v>89908.92</v>
      </c>
      <c r="N37">
        <f t="shared" si="1"/>
        <v>5000.0021999999999</v>
      </c>
      <c r="O37">
        <f t="shared" si="2"/>
        <v>84908.91780000001</v>
      </c>
      <c r="P37">
        <f t="shared" si="3"/>
        <v>0</v>
      </c>
      <c r="Q37">
        <f t="shared" si="4"/>
        <v>8100.7471999999989</v>
      </c>
      <c r="R37" t="s">
        <v>111</v>
      </c>
      <c r="S37" t="s">
        <v>32</v>
      </c>
      <c r="T37" t="s">
        <v>99</v>
      </c>
      <c r="U37" t="s">
        <v>364</v>
      </c>
      <c r="V37" t="s">
        <v>35</v>
      </c>
      <c r="W37" t="s">
        <v>101</v>
      </c>
      <c r="X37" t="s">
        <v>365</v>
      </c>
      <c r="Y37" t="s">
        <v>366</v>
      </c>
      <c r="Z37" t="s">
        <v>54</v>
      </c>
      <c r="AA37" t="s">
        <v>54</v>
      </c>
      <c r="AB37" t="s">
        <v>367</v>
      </c>
      <c r="AC37" t="s">
        <v>54</v>
      </c>
      <c r="AD37" t="s">
        <v>54</v>
      </c>
    </row>
    <row r="38" spans="1:30" x14ac:dyDescent="0.25">
      <c r="A38">
        <v>37</v>
      </c>
      <c r="B38" t="s">
        <v>368</v>
      </c>
      <c r="C38" t="s">
        <v>369</v>
      </c>
      <c r="D38" t="s">
        <v>370</v>
      </c>
      <c r="E38" t="s">
        <v>371</v>
      </c>
      <c r="F38" t="s">
        <v>372</v>
      </c>
      <c r="G38" t="s">
        <v>373</v>
      </c>
      <c r="H38">
        <v>169491.54</v>
      </c>
      <c r="I38">
        <v>25423.73</v>
      </c>
      <c r="J38">
        <v>144067.81</v>
      </c>
      <c r="K38">
        <v>0</v>
      </c>
      <c r="L38">
        <v>25500.010000000002</v>
      </c>
      <c r="M38">
        <f t="shared" si="0"/>
        <v>200000.0172</v>
      </c>
      <c r="N38">
        <f t="shared" si="1"/>
        <v>30000.001399999997</v>
      </c>
      <c r="O38">
        <f t="shared" si="2"/>
        <v>170000.01579999999</v>
      </c>
      <c r="P38">
        <f t="shared" si="3"/>
        <v>0</v>
      </c>
      <c r="Q38">
        <f t="shared" si="4"/>
        <v>30090.0118</v>
      </c>
      <c r="R38" t="s">
        <v>48</v>
      </c>
      <c r="S38" t="s">
        <v>32</v>
      </c>
      <c r="T38" t="s">
        <v>133</v>
      </c>
      <c r="U38" t="s">
        <v>175</v>
      </c>
      <c r="V38" t="s">
        <v>35</v>
      </c>
      <c r="W38" t="s">
        <v>101</v>
      </c>
      <c r="X38" t="s">
        <v>135</v>
      </c>
      <c r="Y38" t="s">
        <v>322</v>
      </c>
      <c r="Z38" t="s">
        <v>54</v>
      </c>
      <c r="AA38" t="s">
        <v>54</v>
      </c>
      <c r="AB38" t="s">
        <v>374</v>
      </c>
      <c r="AC38" t="s">
        <v>54</v>
      </c>
      <c r="AD38" t="s">
        <v>54</v>
      </c>
    </row>
    <row r="39" spans="1:30" x14ac:dyDescent="0.25">
      <c r="A39">
        <v>38</v>
      </c>
      <c r="B39" t="s">
        <v>368</v>
      </c>
      <c r="C39" t="s">
        <v>375</v>
      </c>
      <c r="D39" t="s">
        <v>376</v>
      </c>
      <c r="E39" t="s">
        <v>377</v>
      </c>
      <c r="F39" t="s">
        <v>378</v>
      </c>
      <c r="G39" t="s">
        <v>379</v>
      </c>
      <c r="H39">
        <v>76271</v>
      </c>
      <c r="I39">
        <v>8474.58</v>
      </c>
      <c r="J39">
        <v>67796.42</v>
      </c>
      <c r="K39">
        <v>0</v>
      </c>
      <c r="L39">
        <v>21406.720000000001</v>
      </c>
      <c r="M39">
        <f t="shared" si="0"/>
        <v>89999.78</v>
      </c>
      <c r="N39">
        <f t="shared" si="1"/>
        <v>10000.0044</v>
      </c>
      <c r="O39">
        <f t="shared" si="2"/>
        <v>79999.775599999994</v>
      </c>
      <c r="P39">
        <f t="shared" si="3"/>
        <v>0</v>
      </c>
      <c r="Q39">
        <f t="shared" si="4"/>
        <v>25259.929599999999</v>
      </c>
      <c r="R39" t="s">
        <v>132</v>
      </c>
      <c r="S39" t="s">
        <v>32</v>
      </c>
      <c r="T39" t="s">
        <v>133</v>
      </c>
      <c r="U39" t="s">
        <v>175</v>
      </c>
      <c r="V39" t="s">
        <v>77</v>
      </c>
      <c r="W39" t="s">
        <v>101</v>
      </c>
      <c r="X39" t="s">
        <v>380</v>
      </c>
      <c r="Y39" t="s">
        <v>322</v>
      </c>
      <c r="Z39" t="s">
        <v>54</v>
      </c>
      <c r="AA39" t="s">
        <v>54</v>
      </c>
      <c r="AB39" t="s">
        <v>381</v>
      </c>
      <c r="AC39" t="s">
        <v>54</v>
      </c>
      <c r="AD39" t="s">
        <v>54</v>
      </c>
    </row>
    <row r="40" spans="1:30" x14ac:dyDescent="0.25">
      <c r="A40">
        <v>39</v>
      </c>
      <c r="B40" t="s">
        <v>368</v>
      </c>
      <c r="C40" t="s">
        <v>382</v>
      </c>
      <c r="D40" t="s">
        <v>383</v>
      </c>
      <c r="E40" t="s">
        <v>384</v>
      </c>
      <c r="F40" t="s">
        <v>385</v>
      </c>
      <c r="G40" t="s">
        <v>386</v>
      </c>
      <c r="H40">
        <v>76271</v>
      </c>
      <c r="I40">
        <v>8474.58</v>
      </c>
      <c r="J40">
        <v>67796.42</v>
      </c>
      <c r="K40">
        <v>0</v>
      </c>
      <c r="L40">
        <v>18093.16</v>
      </c>
      <c r="M40">
        <f t="shared" si="0"/>
        <v>89999.78</v>
      </c>
      <c r="N40">
        <f t="shared" si="1"/>
        <v>10000.0044</v>
      </c>
      <c r="O40">
        <f t="shared" si="2"/>
        <v>79999.775599999994</v>
      </c>
      <c r="P40">
        <f t="shared" si="3"/>
        <v>0</v>
      </c>
      <c r="Q40">
        <f t="shared" si="4"/>
        <v>21349.928799999998</v>
      </c>
      <c r="R40" t="s">
        <v>132</v>
      </c>
      <c r="S40" t="s">
        <v>32</v>
      </c>
      <c r="T40" t="s">
        <v>133</v>
      </c>
      <c r="U40" t="s">
        <v>175</v>
      </c>
      <c r="V40" t="s">
        <v>77</v>
      </c>
      <c r="W40" t="s">
        <v>101</v>
      </c>
      <c r="X40" t="s">
        <v>387</v>
      </c>
      <c r="Y40" t="s">
        <v>388</v>
      </c>
      <c r="Z40" t="s">
        <v>54</v>
      </c>
      <c r="AA40" t="s">
        <v>54</v>
      </c>
      <c r="AB40" t="s">
        <v>389</v>
      </c>
      <c r="AC40" t="s">
        <v>54</v>
      </c>
      <c r="AD40" t="s">
        <v>54</v>
      </c>
    </row>
    <row r="41" spans="1:30" x14ac:dyDescent="0.25">
      <c r="A41">
        <v>40</v>
      </c>
      <c r="B41" t="s">
        <v>368</v>
      </c>
      <c r="C41" t="s">
        <v>390</v>
      </c>
      <c r="D41" t="s">
        <v>391</v>
      </c>
      <c r="E41" t="s">
        <v>392</v>
      </c>
      <c r="F41" t="s">
        <v>393</v>
      </c>
      <c r="G41" t="s">
        <v>394</v>
      </c>
      <c r="H41">
        <v>76271</v>
      </c>
      <c r="I41">
        <v>4237.29</v>
      </c>
      <c r="J41">
        <v>72033.710000000006</v>
      </c>
      <c r="K41">
        <v>0</v>
      </c>
      <c r="L41">
        <v>15016.119999999999</v>
      </c>
      <c r="M41">
        <f t="shared" si="0"/>
        <v>89999.78</v>
      </c>
      <c r="N41">
        <f t="shared" si="1"/>
        <v>5000.0021999999999</v>
      </c>
      <c r="O41">
        <f t="shared" si="2"/>
        <v>84999.777799999996</v>
      </c>
      <c r="P41">
        <f t="shared" si="3"/>
        <v>0</v>
      </c>
      <c r="Q41">
        <f t="shared" si="4"/>
        <v>17719.021599999996</v>
      </c>
      <c r="R41" t="s">
        <v>132</v>
      </c>
      <c r="S41" t="s">
        <v>32</v>
      </c>
      <c r="T41" t="s">
        <v>133</v>
      </c>
      <c r="U41" t="s">
        <v>175</v>
      </c>
      <c r="V41" t="s">
        <v>77</v>
      </c>
      <c r="W41" t="s">
        <v>101</v>
      </c>
      <c r="X41" t="s">
        <v>395</v>
      </c>
      <c r="Y41" t="s">
        <v>322</v>
      </c>
      <c r="Z41" t="s">
        <v>54</v>
      </c>
      <c r="AA41" t="s">
        <v>54</v>
      </c>
      <c r="AB41" t="s">
        <v>396</v>
      </c>
      <c r="AC41" t="s">
        <v>54</v>
      </c>
      <c r="AD41" t="s">
        <v>54</v>
      </c>
    </row>
    <row r="42" spans="1:30" x14ac:dyDescent="0.25">
      <c r="A42">
        <v>41</v>
      </c>
      <c r="B42" t="s">
        <v>397</v>
      </c>
      <c r="C42" t="s">
        <v>398</v>
      </c>
      <c r="D42" t="s">
        <v>399</v>
      </c>
      <c r="E42" t="s">
        <v>400</v>
      </c>
      <c r="F42" t="s">
        <v>401</v>
      </c>
      <c r="G42" t="s">
        <v>402</v>
      </c>
      <c r="H42">
        <v>76271</v>
      </c>
      <c r="I42">
        <v>5932.2</v>
      </c>
      <c r="J42">
        <v>70338.8</v>
      </c>
      <c r="K42">
        <v>0</v>
      </c>
      <c r="L42">
        <v>21849.1</v>
      </c>
      <c r="M42">
        <f t="shared" si="0"/>
        <v>89999.78</v>
      </c>
      <c r="N42">
        <f t="shared" si="1"/>
        <v>6999.9959999999992</v>
      </c>
      <c r="O42">
        <f t="shared" si="2"/>
        <v>82999.784</v>
      </c>
      <c r="P42">
        <f t="shared" si="3"/>
        <v>0</v>
      </c>
      <c r="Q42">
        <f t="shared" si="4"/>
        <v>25781.937999999998</v>
      </c>
      <c r="R42" t="s">
        <v>132</v>
      </c>
      <c r="S42" t="s">
        <v>32</v>
      </c>
      <c r="T42" t="s">
        <v>133</v>
      </c>
      <c r="U42" t="s">
        <v>175</v>
      </c>
      <c r="V42" t="s">
        <v>77</v>
      </c>
      <c r="W42" t="s">
        <v>101</v>
      </c>
      <c r="X42" t="s">
        <v>403</v>
      </c>
      <c r="Y42" t="s">
        <v>54</v>
      </c>
      <c r="Z42" t="s">
        <v>54</v>
      </c>
      <c r="AA42" t="s">
        <v>54</v>
      </c>
      <c r="AB42" t="s">
        <v>404</v>
      </c>
      <c r="AC42" t="s">
        <v>54</v>
      </c>
      <c r="AD42" t="s">
        <v>54</v>
      </c>
    </row>
    <row r="43" spans="1:30" x14ac:dyDescent="0.25">
      <c r="A43">
        <v>42</v>
      </c>
      <c r="B43" t="s">
        <v>405</v>
      </c>
      <c r="C43" t="s">
        <v>406</v>
      </c>
      <c r="D43" t="s">
        <v>407</v>
      </c>
      <c r="E43" t="s">
        <v>408</v>
      </c>
      <c r="F43" t="s">
        <v>409</v>
      </c>
      <c r="G43" t="s">
        <v>410</v>
      </c>
      <c r="H43">
        <v>77000</v>
      </c>
      <c r="I43">
        <v>12711.86</v>
      </c>
      <c r="J43">
        <v>64288.14</v>
      </c>
      <c r="K43">
        <v>12711.869999999999</v>
      </c>
      <c r="L43">
        <v>0</v>
      </c>
      <c r="M43">
        <f t="shared" si="0"/>
        <v>90860</v>
      </c>
      <c r="N43">
        <f t="shared" si="1"/>
        <v>14999.9948</v>
      </c>
      <c r="O43">
        <f t="shared" si="2"/>
        <v>75860.0052</v>
      </c>
      <c r="P43">
        <f t="shared" si="3"/>
        <v>15000.006599999999</v>
      </c>
      <c r="Q43">
        <f t="shared" si="4"/>
        <v>0</v>
      </c>
      <c r="R43" t="s">
        <v>132</v>
      </c>
      <c r="S43" t="s">
        <v>32</v>
      </c>
      <c r="T43" t="s">
        <v>133</v>
      </c>
      <c r="U43" t="s">
        <v>175</v>
      </c>
      <c r="V43" t="s">
        <v>35</v>
      </c>
      <c r="W43" t="s">
        <v>101</v>
      </c>
      <c r="X43" t="s">
        <v>411</v>
      </c>
      <c r="Y43" t="s">
        <v>412</v>
      </c>
      <c r="Z43" t="s">
        <v>54</v>
      </c>
      <c r="AA43" t="s">
        <v>413</v>
      </c>
      <c r="AB43" t="s">
        <v>414</v>
      </c>
      <c r="AC43" t="s">
        <v>54</v>
      </c>
      <c r="AD43" t="s">
        <v>54</v>
      </c>
    </row>
    <row r="44" spans="1:30" x14ac:dyDescent="0.25">
      <c r="A44">
        <v>43</v>
      </c>
      <c r="B44" t="s">
        <v>405</v>
      </c>
      <c r="C44" t="s">
        <v>415</v>
      </c>
      <c r="D44" t="s">
        <v>416</v>
      </c>
      <c r="E44" t="s">
        <v>417</v>
      </c>
      <c r="F44" t="s">
        <v>418</v>
      </c>
      <c r="G44" t="s">
        <v>419</v>
      </c>
      <c r="H44">
        <v>76271.188644059992</v>
      </c>
      <c r="I44">
        <v>0</v>
      </c>
      <c r="J44">
        <v>76271.188644059992</v>
      </c>
      <c r="K44">
        <v>12711.86</v>
      </c>
      <c r="L44">
        <v>10169.379999999999</v>
      </c>
      <c r="M44">
        <f t="shared" si="0"/>
        <v>90000.002599990781</v>
      </c>
      <c r="N44">
        <f t="shared" si="1"/>
        <v>0</v>
      </c>
      <c r="O44">
        <f t="shared" si="2"/>
        <v>90000.002599990781</v>
      </c>
      <c r="P44">
        <f t="shared" si="3"/>
        <v>14999.9948</v>
      </c>
      <c r="Q44">
        <f t="shared" si="4"/>
        <v>11999.868399999998</v>
      </c>
      <c r="R44" t="s">
        <v>98</v>
      </c>
      <c r="S44" t="s">
        <v>32</v>
      </c>
      <c r="T44" t="s">
        <v>112</v>
      </c>
      <c r="U44" t="s">
        <v>113</v>
      </c>
      <c r="V44" t="s">
        <v>35</v>
      </c>
      <c r="W44" t="s">
        <v>51</v>
      </c>
      <c r="X44" t="s">
        <v>420</v>
      </c>
      <c r="Y44" t="s">
        <v>54</v>
      </c>
      <c r="Z44" t="s">
        <v>416</v>
      </c>
      <c r="AA44" t="s">
        <v>421</v>
      </c>
      <c r="AB44" t="s">
        <v>54</v>
      </c>
      <c r="AC44" t="s">
        <v>54</v>
      </c>
      <c r="AD44" t="s">
        <v>54</v>
      </c>
    </row>
    <row r="45" spans="1:30" x14ac:dyDescent="0.25">
      <c r="A45">
        <v>44</v>
      </c>
      <c r="B45" t="s">
        <v>422</v>
      </c>
      <c r="C45" t="s">
        <v>423</v>
      </c>
      <c r="D45" t="s">
        <v>424</v>
      </c>
      <c r="E45" t="s">
        <v>425</v>
      </c>
      <c r="F45" t="s">
        <v>426</v>
      </c>
      <c r="G45" t="s">
        <v>427</v>
      </c>
      <c r="H45">
        <v>127118.66</v>
      </c>
      <c r="I45">
        <v>10169.49</v>
      </c>
      <c r="J45">
        <v>116949.17</v>
      </c>
      <c r="K45">
        <v>0</v>
      </c>
      <c r="L45">
        <v>12442.369999999999</v>
      </c>
      <c r="M45">
        <f t="shared" si="0"/>
        <v>150000.01879999999</v>
      </c>
      <c r="N45">
        <f t="shared" si="1"/>
        <v>11999.9982</v>
      </c>
      <c r="O45">
        <f t="shared" si="2"/>
        <v>138000.02059999999</v>
      </c>
      <c r="P45">
        <f t="shared" si="3"/>
        <v>0</v>
      </c>
      <c r="Q45">
        <f t="shared" si="4"/>
        <v>14681.996599999999</v>
      </c>
      <c r="R45" t="s">
        <v>48</v>
      </c>
      <c r="S45" t="s">
        <v>32</v>
      </c>
      <c r="T45" t="s">
        <v>185</v>
      </c>
      <c r="U45" t="s">
        <v>428</v>
      </c>
      <c r="V45" t="s">
        <v>77</v>
      </c>
      <c r="W45" t="s">
        <v>101</v>
      </c>
      <c r="X45" t="s">
        <v>429</v>
      </c>
      <c r="Y45" t="s">
        <v>252</v>
      </c>
      <c r="Z45" t="s">
        <v>54</v>
      </c>
      <c r="AA45" t="s">
        <v>54</v>
      </c>
      <c r="AB45" t="s">
        <v>430</v>
      </c>
      <c r="AC45" t="s">
        <v>40</v>
      </c>
      <c r="AD45" t="s">
        <v>305</v>
      </c>
    </row>
    <row r="46" spans="1:30" x14ac:dyDescent="0.25">
      <c r="A46">
        <v>45</v>
      </c>
      <c r="B46" t="s">
        <v>431</v>
      </c>
      <c r="C46" t="s">
        <v>432</v>
      </c>
      <c r="D46" t="s">
        <v>433</v>
      </c>
      <c r="E46" t="s">
        <v>434</v>
      </c>
      <c r="F46" t="s">
        <v>435</v>
      </c>
      <c r="G46" t="s">
        <v>436</v>
      </c>
      <c r="H46">
        <v>76271.187796999991</v>
      </c>
      <c r="I46">
        <v>5084.75</v>
      </c>
      <c r="J46">
        <v>71186.437796999991</v>
      </c>
      <c r="K46">
        <v>0</v>
      </c>
      <c r="L46">
        <v>7131.48</v>
      </c>
      <c r="M46">
        <f t="shared" si="0"/>
        <v>90000.001600459989</v>
      </c>
      <c r="N46">
        <f t="shared" si="1"/>
        <v>6000.0050000000001</v>
      </c>
      <c r="O46">
        <f t="shared" si="2"/>
        <v>83999.996600459985</v>
      </c>
      <c r="P46">
        <f t="shared" si="3"/>
        <v>0</v>
      </c>
      <c r="Q46">
        <f t="shared" si="4"/>
        <v>8415.1463999999996</v>
      </c>
      <c r="R46" t="s">
        <v>86</v>
      </c>
      <c r="S46" t="s">
        <v>32</v>
      </c>
      <c r="T46" t="s">
        <v>185</v>
      </c>
      <c r="U46" t="s">
        <v>192</v>
      </c>
      <c r="V46" t="s">
        <v>35</v>
      </c>
      <c r="W46" t="s">
        <v>101</v>
      </c>
      <c r="X46" t="s">
        <v>437</v>
      </c>
      <c r="Y46" t="s">
        <v>194</v>
      </c>
      <c r="Z46" t="s">
        <v>54</v>
      </c>
      <c r="AA46" t="s">
        <v>54</v>
      </c>
      <c r="AB46" t="s">
        <v>438</v>
      </c>
      <c r="AC46" t="s">
        <v>40</v>
      </c>
      <c r="AD46" t="s">
        <v>214</v>
      </c>
    </row>
    <row r="47" spans="1:30" x14ac:dyDescent="0.25">
      <c r="A47">
        <v>46</v>
      </c>
      <c r="B47" t="s">
        <v>431</v>
      </c>
      <c r="C47" t="s">
        <v>439</v>
      </c>
      <c r="D47" t="s">
        <v>440</v>
      </c>
      <c r="E47" t="s">
        <v>441</v>
      </c>
      <c r="F47" t="s">
        <v>442</v>
      </c>
      <c r="G47" t="s">
        <v>443</v>
      </c>
      <c r="H47">
        <v>77000</v>
      </c>
      <c r="I47">
        <v>4237.29</v>
      </c>
      <c r="J47">
        <v>72762.710000000006</v>
      </c>
      <c r="K47">
        <v>0</v>
      </c>
      <c r="L47">
        <v>9402.7099999999991</v>
      </c>
      <c r="M47">
        <f t="shared" si="0"/>
        <v>90860</v>
      </c>
      <c r="N47">
        <f t="shared" si="1"/>
        <v>5000.0021999999999</v>
      </c>
      <c r="O47">
        <f t="shared" si="2"/>
        <v>85859.997799999997</v>
      </c>
      <c r="P47">
        <f t="shared" si="3"/>
        <v>0</v>
      </c>
      <c r="Q47">
        <f t="shared" si="4"/>
        <v>11095.197799999998</v>
      </c>
      <c r="R47" t="s">
        <v>132</v>
      </c>
      <c r="S47" t="s">
        <v>32</v>
      </c>
      <c r="T47" t="s">
        <v>133</v>
      </c>
      <c r="U47" t="s">
        <v>175</v>
      </c>
      <c r="V47" t="s">
        <v>35</v>
      </c>
      <c r="W47" t="s">
        <v>101</v>
      </c>
      <c r="X47" t="s">
        <v>444</v>
      </c>
      <c r="Y47" t="s">
        <v>445</v>
      </c>
      <c r="Z47" t="s">
        <v>54</v>
      </c>
      <c r="AA47" t="s">
        <v>54</v>
      </c>
      <c r="AB47" t="s">
        <v>446</v>
      </c>
      <c r="AC47" t="s">
        <v>54</v>
      </c>
      <c r="AD47" t="s">
        <v>54</v>
      </c>
    </row>
    <row r="48" spans="1:30" x14ac:dyDescent="0.25">
      <c r="A48">
        <v>47</v>
      </c>
      <c r="B48" t="s">
        <v>431</v>
      </c>
      <c r="C48" t="s">
        <v>447</v>
      </c>
      <c r="D48" t="s">
        <v>448</v>
      </c>
      <c r="E48" t="s">
        <v>449</v>
      </c>
      <c r="F48" t="s">
        <v>450</v>
      </c>
      <c r="G48" t="s">
        <v>451</v>
      </c>
      <c r="H48">
        <v>74575.600000000006</v>
      </c>
      <c r="I48">
        <v>0</v>
      </c>
      <c r="J48">
        <v>74575.600000000006</v>
      </c>
      <c r="K48">
        <v>8474.58</v>
      </c>
      <c r="L48">
        <v>0</v>
      </c>
      <c r="M48">
        <f t="shared" si="0"/>
        <v>87999.207999999999</v>
      </c>
      <c r="N48">
        <f t="shared" si="1"/>
        <v>0</v>
      </c>
      <c r="O48">
        <f t="shared" si="2"/>
        <v>87999.207999999999</v>
      </c>
      <c r="P48">
        <f t="shared" si="3"/>
        <v>10000.0044</v>
      </c>
      <c r="Q48">
        <f t="shared" si="4"/>
        <v>0</v>
      </c>
      <c r="R48" t="s">
        <v>111</v>
      </c>
      <c r="S48" t="s">
        <v>32</v>
      </c>
      <c r="T48" t="s">
        <v>112</v>
      </c>
      <c r="U48" t="s">
        <v>166</v>
      </c>
      <c r="V48" t="s">
        <v>77</v>
      </c>
      <c r="W48" t="s">
        <v>101</v>
      </c>
      <c r="X48" t="s">
        <v>452</v>
      </c>
      <c r="Y48" t="s">
        <v>453</v>
      </c>
      <c r="Z48" t="s">
        <v>54</v>
      </c>
      <c r="AA48" t="s">
        <v>454</v>
      </c>
      <c r="AB48" t="s">
        <v>455</v>
      </c>
      <c r="AC48" t="s">
        <v>40</v>
      </c>
      <c r="AD48" t="s">
        <v>41</v>
      </c>
    </row>
    <row r="49" spans="1:30" x14ac:dyDescent="0.25">
      <c r="A49">
        <v>48</v>
      </c>
      <c r="B49" t="s">
        <v>456</v>
      </c>
      <c r="C49" t="s">
        <v>457</v>
      </c>
      <c r="D49" t="s">
        <v>458</v>
      </c>
      <c r="E49" t="s">
        <v>459</v>
      </c>
      <c r="F49" t="s">
        <v>460</v>
      </c>
      <c r="G49" t="s">
        <v>461</v>
      </c>
      <c r="H49">
        <v>74576</v>
      </c>
      <c r="I49">
        <v>8474.58</v>
      </c>
      <c r="J49">
        <v>66101.42</v>
      </c>
      <c r="K49">
        <v>15254.240000000002</v>
      </c>
      <c r="L49">
        <v>0</v>
      </c>
      <c r="M49">
        <f t="shared" si="0"/>
        <v>87999.679999999993</v>
      </c>
      <c r="N49">
        <f t="shared" si="1"/>
        <v>10000.0044</v>
      </c>
      <c r="O49">
        <f t="shared" si="2"/>
        <v>77999.675599999988</v>
      </c>
      <c r="P49">
        <f t="shared" si="3"/>
        <v>18000.003199999999</v>
      </c>
      <c r="Q49">
        <f t="shared" si="4"/>
        <v>0</v>
      </c>
      <c r="R49" t="s">
        <v>132</v>
      </c>
      <c r="S49" t="s">
        <v>32</v>
      </c>
      <c r="T49" t="s">
        <v>133</v>
      </c>
      <c r="U49" t="s">
        <v>134</v>
      </c>
      <c r="V49" t="s">
        <v>77</v>
      </c>
      <c r="W49" t="s">
        <v>101</v>
      </c>
      <c r="X49" t="s">
        <v>462</v>
      </c>
      <c r="Y49" t="s">
        <v>463</v>
      </c>
      <c r="Z49" t="s">
        <v>54</v>
      </c>
      <c r="AA49" t="s">
        <v>464</v>
      </c>
      <c r="AB49" t="s">
        <v>465</v>
      </c>
      <c r="AC49" t="s">
        <v>54</v>
      </c>
      <c r="AD49" t="s">
        <v>54</v>
      </c>
    </row>
    <row r="50" spans="1:30" x14ac:dyDescent="0.25">
      <c r="A50">
        <v>49</v>
      </c>
      <c r="B50" t="s">
        <v>466</v>
      </c>
      <c r="C50" t="s">
        <v>467</v>
      </c>
      <c r="D50" t="s">
        <v>468</v>
      </c>
      <c r="E50" t="s">
        <v>469</v>
      </c>
      <c r="F50" t="s">
        <v>470</v>
      </c>
      <c r="G50" t="s">
        <v>471</v>
      </c>
      <c r="H50">
        <v>165253.5254237254</v>
      </c>
      <c r="I50">
        <v>8474.58</v>
      </c>
      <c r="J50">
        <v>156778.94542372541</v>
      </c>
      <c r="K50">
        <v>0</v>
      </c>
      <c r="L50">
        <v>13065.3</v>
      </c>
      <c r="M50">
        <f t="shared" si="0"/>
        <v>194999.15999999596</v>
      </c>
      <c r="N50">
        <f t="shared" si="1"/>
        <v>10000.0044</v>
      </c>
      <c r="O50">
        <f t="shared" si="2"/>
        <v>184999.15559999598</v>
      </c>
      <c r="P50">
        <f t="shared" si="3"/>
        <v>0</v>
      </c>
      <c r="Q50">
        <f t="shared" si="4"/>
        <v>15417.053999999998</v>
      </c>
      <c r="R50" t="s">
        <v>31</v>
      </c>
      <c r="S50" t="s">
        <v>32</v>
      </c>
      <c r="T50" t="s">
        <v>143</v>
      </c>
      <c r="U50" t="s">
        <v>144</v>
      </c>
      <c r="V50" t="s">
        <v>35</v>
      </c>
      <c r="W50" t="s">
        <v>101</v>
      </c>
      <c r="X50" t="s">
        <v>472</v>
      </c>
      <c r="Y50" t="s">
        <v>54</v>
      </c>
      <c r="Z50" t="s">
        <v>54</v>
      </c>
      <c r="AA50" t="s">
        <v>54</v>
      </c>
      <c r="AB50" t="s">
        <v>54</v>
      </c>
      <c r="AC50" t="s">
        <v>54</v>
      </c>
      <c r="AD50" t="s">
        <v>54</v>
      </c>
    </row>
    <row r="51" spans="1:30" x14ac:dyDescent="0.25">
      <c r="A51">
        <v>50</v>
      </c>
      <c r="B51" t="s">
        <v>473</v>
      </c>
      <c r="C51" t="s">
        <v>474</v>
      </c>
      <c r="D51" t="s">
        <v>475</v>
      </c>
      <c r="E51" t="s">
        <v>476</v>
      </c>
      <c r="F51" t="s">
        <v>477</v>
      </c>
      <c r="G51" t="s">
        <v>478</v>
      </c>
      <c r="H51">
        <v>76271.188644059992</v>
      </c>
      <c r="I51">
        <v>847.46</v>
      </c>
      <c r="J51">
        <v>75423.728644059986</v>
      </c>
      <c r="K51">
        <v>17796.61</v>
      </c>
      <c r="L51">
        <v>0</v>
      </c>
      <c r="M51">
        <f t="shared" si="0"/>
        <v>90000.002599990781</v>
      </c>
      <c r="N51">
        <f t="shared" si="1"/>
        <v>1000.0028</v>
      </c>
      <c r="O51">
        <f t="shared" si="2"/>
        <v>88999.999799990779</v>
      </c>
      <c r="P51">
        <f t="shared" si="3"/>
        <v>20999.999799999998</v>
      </c>
      <c r="Q51">
        <f t="shared" si="4"/>
        <v>0</v>
      </c>
      <c r="R51" t="s">
        <v>98</v>
      </c>
      <c r="S51" t="s">
        <v>32</v>
      </c>
      <c r="T51" t="s">
        <v>112</v>
      </c>
      <c r="U51" t="s">
        <v>113</v>
      </c>
      <c r="V51" t="s">
        <v>77</v>
      </c>
      <c r="W51" t="s">
        <v>101</v>
      </c>
      <c r="X51" t="s">
        <v>479</v>
      </c>
      <c r="Y51" t="s">
        <v>54</v>
      </c>
      <c r="Z51" t="s">
        <v>475</v>
      </c>
      <c r="AA51" t="s">
        <v>475</v>
      </c>
      <c r="AB51" t="s">
        <v>54</v>
      </c>
      <c r="AC51" t="s">
        <v>54</v>
      </c>
      <c r="AD51" t="s">
        <v>54</v>
      </c>
    </row>
    <row r="52" spans="1:30" x14ac:dyDescent="0.25">
      <c r="A52">
        <v>51</v>
      </c>
      <c r="B52" t="s">
        <v>473</v>
      </c>
      <c r="C52" t="s">
        <v>480</v>
      </c>
      <c r="D52" t="s">
        <v>481</v>
      </c>
      <c r="E52" t="s">
        <v>482</v>
      </c>
      <c r="F52" t="s">
        <v>483</v>
      </c>
      <c r="G52" t="s">
        <v>484</v>
      </c>
      <c r="H52">
        <v>74579</v>
      </c>
      <c r="I52">
        <v>0</v>
      </c>
      <c r="J52">
        <v>74579</v>
      </c>
      <c r="K52">
        <v>9322.0400000000009</v>
      </c>
      <c r="L52">
        <v>0</v>
      </c>
      <c r="M52">
        <f t="shared" si="0"/>
        <v>88003.22</v>
      </c>
      <c r="N52">
        <f t="shared" si="1"/>
        <v>0</v>
      </c>
      <c r="O52">
        <f t="shared" si="2"/>
        <v>88003.22</v>
      </c>
      <c r="P52">
        <f t="shared" si="3"/>
        <v>11000.0072</v>
      </c>
      <c r="Q52">
        <f t="shared" si="4"/>
        <v>0</v>
      </c>
      <c r="R52" t="s">
        <v>111</v>
      </c>
      <c r="S52" t="s">
        <v>32</v>
      </c>
      <c r="T52" t="s">
        <v>112</v>
      </c>
      <c r="U52" t="s">
        <v>166</v>
      </c>
      <c r="V52" t="s">
        <v>35</v>
      </c>
      <c r="W52" t="s">
        <v>101</v>
      </c>
      <c r="X52" t="s">
        <v>485</v>
      </c>
      <c r="Y52" t="s">
        <v>54</v>
      </c>
      <c r="Z52" t="s">
        <v>54</v>
      </c>
      <c r="AA52" t="s">
        <v>481</v>
      </c>
      <c r="AB52" t="s">
        <v>486</v>
      </c>
      <c r="AC52" t="s">
        <v>54</v>
      </c>
      <c r="AD52" t="s">
        <v>54</v>
      </c>
    </row>
    <row r="53" spans="1:30" x14ac:dyDescent="0.25">
      <c r="A53">
        <v>52</v>
      </c>
      <c r="B53" t="s">
        <v>487</v>
      </c>
      <c r="C53" t="s">
        <v>488</v>
      </c>
      <c r="D53" t="s">
        <v>489</v>
      </c>
      <c r="E53" t="s">
        <v>490</v>
      </c>
      <c r="F53" t="s">
        <v>491</v>
      </c>
      <c r="G53" t="s">
        <v>492</v>
      </c>
      <c r="H53">
        <v>95002.8</v>
      </c>
      <c r="I53">
        <v>847.46</v>
      </c>
      <c r="J53">
        <v>94155.34</v>
      </c>
      <c r="K53">
        <v>0</v>
      </c>
      <c r="L53">
        <v>5254.98</v>
      </c>
      <c r="M53">
        <f t="shared" si="0"/>
        <v>112103.304</v>
      </c>
      <c r="N53">
        <f t="shared" si="1"/>
        <v>1000.0028</v>
      </c>
      <c r="O53">
        <f t="shared" si="2"/>
        <v>111103.30119999999</v>
      </c>
      <c r="P53">
        <f t="shared" si="3"/>
        <v>0</v>
      </c>
      <c r="Q53">
        <f t="shared" si="4"/>
        <v>6200.8763999999992</v>
      </c>
      <c r="R53" t="s">
        <v>111</v>
      </c>
      <c r="S53" t="s">
        <v>32</v>
      </c>
      <c r="T53" t="s">
        <v>143</v>
      </c>
      <c r="U53" t="s">
        <v>144</v>
      </c>
      <c r="V53" t="s">
        <v>35</v>
      </c>
      <c r="W53" t="s">
        <v>101</v>
      </c>
      <c r="X53" t="s">
        <v>493</v>
      </c>
      <c r="Y53" t="s">
        <v>54</v>
      </c>
      <c r="Z53" t="s">
        <v>54</v>
      </c>
      <c r="AA53" t="s">
        <v>54</v>
      </c>
      <c r="AB53" t="s">
        <v>494</v>
      </c>
      <c r="AC53" t="s">
        <v>54</v>
      </c>
      <c r="AD53" t="s">
        <v>54</v>
      </c>
    </row>
    <row r="54" spans="1:30" x14ac:dyDescent="0.25">
      <c r="A54">
        <v>53</v>
      </c>
      <c r="B54" t="s">
        <v>487</v>
      </c>
      <c r="C54" t="s">
        <v>495</v>
      </c>
      <c r="D54" t="s">
        <v>496</v>
      </c>
      <c r="E54" t="s">
        <v>497</v>
      </c>
      <c r="F54" t="s">
        <v>498</v>
      </c>
      <c r="G54" t="s">
        <v>499</v>
      </c>
      <c r="H54">
        <v>72033.899999999994</v>
      </c>
      <c r="I54">
        <v>4237.29</v>
      </c>
      <c r="J54">
        <v>67796.61</v>
      </c>
      <c r="K54">
        <v>2796.61</v>
      </c>
      <c r="L54">
        <v>1324.6399999999999</v>
      </c>
      <c r="M54">
        <f t="shared" si="0"/>
        <v>85000.001999999993</v>
      </c>
      <c r="N54">
        <f t="shared" si="1"/>
        <v>5000.0021999999999</v>
      </c>
      <c r="O54">
        <f t="shared" si="2"/>
        <v>79999.999799999991</v>
      </c>
      <c r="P54">
        <f t="shared" si="3"/>
        <v>3299.9998000000001</v>
      </c>
      <c r="Q54">
        <f t="shared" si="4"/>
        <v>1563.0751999999998</v>
      </c>
      <c r="R54" t="s">
        <v>132</v>
      </c>
      <c r="S54" t="s">
        <v>32</v>
      </c>
      <c r="T54" t="s">
        <v>185</v>
      </c>
      <c r="U54" t="s">
        <v>192</v>
      </c>
      <c r="V54" t="s">
        <v>35</v>
      </c>
      <c r="W54" t="s">
        <v>101</v>
      </c>
      <c r="X54" t="s">
        <v>500</v>
      </c>
      <c r="Y54" t="s">
        <v>194</v>
      </c>
      <c r="Z54" t="s">
        <v>54</v>
      </c>
      <c r="AA54" t="s">
        <v>54</v>
      </c>
      <c r="AB54" t="s">
        <v>501</v>
      </c>
      <c r="AC54" t="s">
        <v>40</v>
      </c>
      <c r="AD54" t="s">
        <v>214</v>
      </c>
    </row>
    <row r="55" spans="1:30" x14ac:dyDescent="0.25">
      <c r="A55">
        <v>54</v>
      </c>
      <c r="B55" t="s">
        <v>487</v>
      </c>
      <c r="C55" t="s">
        <v>502</v>
      </c>
      <c r="D55" t="s">
        <v>503</v>
      </c>
      <c r="E55" t="s">
        <v>504</v>
      </c>
      <c r="F55" t="s">
        <v>505</v>
      </c>
      <c r="G55" t="s">
        <v>506</v>
      </c>
      <c r="H55">
        <v>76262</v>
      </c>
      <c r="I55">
        <v>0</v>
      </c>
      <c r="J55">
        <v>76262</v>
      </c>
      <c r="K55">
        <v>16946.73</v>
      </c>
      <c r="L55">
        <v>0</v>
      </c>
      <c r="M55">
        <f t="shared" si="0"/>
        <v>89989.159999999989</v>
      </c>
      <c r="N55">
        <f t="shared" si="1"/>
        <v>0</v>
      </c>
      <c r="O55">
        <f t="shared" si="2"/>
        <v>89989.159999999989</v>
      </c>
      <c r="P55">
        <f t="shared" si="3"/>
        <v>19997.141399999997</v>
      </c>
      <c r="Q55">
        <f t="shared" si="4"/>
        <v>0</v>
      </c>
      <c r="R55" t="s">
        <v>111</v>
      </c>
      <c r="S55" t="s">
        <v>32</v>
      </c>
      <c r="T55" t="s">
        <v>112</v>
      </c>
      <c r="U55" t="s">
        <v>113</v>
      </c>
      <c r="V55" t="s">
        <v>77</v>
      </c>
      <c r="W55" t="s">
        <v>507</v>
      </c>
      <c r="X55" t="s">
        <v>508</v>
      </c>
      <c r="Y55" t="s">
        <v>54</v>
      </c>
      <c r="Z55" t="s">
        <v>503</v>
      </c>
      <c r="AA55" t="s">
        <v>509</v>
      </c>
      <c r="AB55" t="s">
        <v>510</v>
      </c>
      <c r="AC55" t="s">
        <v>54</v>
      </c>
      <c r="AD55" t="s">
        <v>54</v>
      </c>
    </row>
    <row r="56" spans="1:30" x14ac:dyDescent="0.25">
      <c r="A56">
        <v>55</v>
      </c>
      <c r="B56" t="s">
        <v>511</v>
      </c>
      <c r="C56" t="s">
        <v>512</v>
      </c>
      <c r="D56" t="s">
        <v>513</v>
      </c>
      <c r="E56" t="s">
        <v>514</v>
      </c>
      <c r="F56" t="s">
        <v>515</v>
      </c>
      <c r="G56" t="s">
        <v>516</v>
      </c>
      <c r="H56">
        <v>77000</v>
      </c>
      <c r="I56">
        <v>17677.97</v>
      </c>
      <c r="J56">
        <v>59322.03</v>
      </c>
      <c r="K56">
        <v>0</v>
      </c>
      <c r="L56">
        <v>8796.0299999999988</v>
      </c>
      <c r="M56">
        <f t="shared" si="0"/>
        <v>90860</v>
      </c>
      <c r="N56">
        <f t="shared" si="1"/>
        <v>20860.0046</v>
      </c>
      <c r="O56">
        <f t="shared" si="2"/>
        <v>69999.9954</v>
      </c>
      <c r="P56">
        <f t="shared" si="3"/>
        <v>0</v>
      </c>
      <c r="Q56">
        <f t="shared" si="4"/>
        <v>10379.315399999998</v>
      </c>
      <c r="R56" t="s">
        <v>132</v>
      </c>
      <c r="S56" t="s">
        <v>32</v>
      </c>
      <c r="T56" t="s">
        <v>133</v>
      </c>
      <c r="U56" t="s">
        <v>517</v>
      </c>
      <c r="V56" t="s">
        <v>77</v>
      </c>
      <c r="W56" t="s">
        <v>101</v>
      </c>
      <c r="X56" t="s">
        <v>518</v>
      </c>
      <c r="Y56" t="s">
        <v>519</v>
      </c>
      <c r="Z56" t="s">
        <v>514</v>
      </c>
      <c r="AA56" t="s">
        <v>520</v>
      </c>
      <c r="AB56" t="s">
        <v>521</v>
      </c>
      <c r="AC56" t="s">
        <v>40</v>
      </c>
      <c r="AD56" t="s">
        <v>214</v>
      </c>
    </row>
    <row r="57" spans="1:30" x14ac:dyDescent="0.25">
      <c r="A57">
        <v>56</v>
      </c>
      <c r="B57" t="s">
        <v>522</v>
      </c>
      <c r="C57" t="s">
        <v>523</v>
      </c>
      <c r="D57" t="s">
        <v>524</v>
      </c>
      <c r="E57" t="s">
        <v>525</v>
      </c>
      <c r="F57" t="s">
        <v>526</v>
      </c>
      <c r="G57" t="s">
        <v>527</v>
      </c>
      <c r="H57">
        <v>59491</v>
      </c>
      <c r="I57">
        <v>847.46</v>
      </c>
      <c r="J57">
        <v>58643.54</v>
      </c>
      <c r="K57">
        <v>0</v>
      </c>
      <c r="L57">
        <v>2456.5200000000004</v>
      </c>
      <c r="M57">
        <f t="shared" si="0"/>
        <v>70199.37999999999</v>
      </c>
      <c r="N57">
        <f t="shared" si="1"/>
        <v>1000.0028</v>
      </c>
      <c r="O57">
        <f t="shared" si="2"/>
        <v>69199.377200000003</v>
      </c>
      <c r="P57">
        <f t="shared" si="3"/>
        <v>0</v>
      </c>
      <c r="Q57">
        <f t="shared" si="4"/>
        <v>2898.6936000000005</v>
      </c>
      <c r="R57" t="s">
        <v>111</v>
      </c>
      <c r="S57" t="s">
        <v>32</v>
      </c>
      <c r="T57" t="s">
        <v>112</v>
      </c>
      <c r="U57" t="s">
        <v>166</v>
      </c>
      <c r="V57" t="s">
        <v>35</v>
      </c>
      <c r="W57" t="s">
        <v>101</v>
      </c>
      <c r="X57" t="s">
        <v>528</v>
      </c>
      <c r="Y57" t="s">
        <v>202</v>
      </c>
      <c r="Z57" t="s">
        <v>54</v>
      </c>
      <c r="AA57" t="s">
        <v>54</v>
      </c>
      <c r="AB57" t="s">
        <v>529</v>
      </c>
      <c r="AC57" t="s">
        <v>54</v>
      </c>
      <c r="AD57" t="s">
        <v>54</v>
      </c>
    </row>
    <row r="58" spans="1:30" x14ac:dyDescent="0.25">
      <c r="A58">
        <v>57</v>
      </c>
      <c r="B58" t="s">
        <v>530</v>
      </c>
      <c r="C58" t="s">
        <v>531</v>
      </c>
      <c r="D58" t="s">
        <v>532</v>
      </c>
      <c r="E58" t="s">
        <v>533</v>
      </c>
      <c r="F58" t="s">
        <v>72</v>
      </c>
      <c r="G58" t="s">
        <v>534</v>
      </c>
      <c r="H58">
        <v>144067.81</v>
      </c>
      <c r="I58">
        <v>4237.29</v>
      </c>
      <c r="J58">
        <v>139830.51999999999</v>
      </c>
      <c r="K58">
        <v>847.46</v>
      </c>
      <c r="L58">
        <v>6920.4400000000005</v>
      </c>
      <c r="M58">
        <f t="shared" si="0"/>
        <v>170000.01579999999</v>
      </c>
      <c r="N58">
        <f t="shared" si="1"/>
        <v>5000.0021999999999</v>
      </c>
      <c r="O58">
        <f t="shared" si="2"/>
        <v>165000.01359999998</v>
      </c>
      <c r="P58">
        <f t="shared" si="3"/>
        <v>1000.0028</v>
      </c>
      <c r="Q58">
        <f t="shared" si="4"/>
        <v>8166.1192000000001</v>
      </c>
      <c r="R58" t="s">
        <v>48</v>
      </c>
      <c r="S58" t="s">
        <v>32</v>
      </c>
      <c r="T58" t="s">
        <v>535</v>
      </c>
      <c r="U58" t="s">
        <v>536</v>
      </c>
      <c r="V58" t="s">
        <v>77</v>
      </c>
      <c r="W58" t="s">
        <v>101</v>
      </c>
      <c r="X58" t="s">
        <v>537</v>
      </c>
      <c r="Y58" t="s">
        <v>538</v>
      </c>
      <c r="Z58" t="s">
        <v>54</v>
      </c>
      <c r="AA58" t="s">
        <v>54</v>
      </c>
      <c r="AB58" t="s">
        <v>539</v>
      </c>
      <c r="AC58" t="s">
        <v>54</v>
      </c>
      <c r="AD58" t="s">
        <v>54</v>
      </c>
    </row>
    <row r="59" spans="1:30" x14ac:dyDescent="0.25">
      <c r="A59">
        <v>58</v>
      </c>
      <c r="B59" t="s">
        <v>540</v>
      </c>
      <c r="C59" t="s">
        <v>541</v>
      </c>
      <c r="D59" t="s">
        <v>542</v>
      </c>
      <c r="E59" t="s">
        <v>543</v>
      </c>
      <c r="F59" t="s">
        <v>544</v>
      </c>
      <c r="G59" t="s">
        <v>545</v>
      </c>
      <c r="H59">
        <v>77000</v>
      </c>
      <c r="I59">
        <v>4237.29</v>
      </c>
      <c r="J59">
        <v>72762.710000000006</v>
      </c>
      <c r="K59">
        <v>3389.83</v>
      </c>
      <c r="L59">
        <v>7962.7099999999991</v>
      </c>
      <c r="M59">
        <f t="shared" si="0"/>
        <v>90860</v>
      </c>
      <c r="N59">
        <f t="shared" si="1"/>
        <v>5000.0021999999999</v>
      </c>
      <c r="O59">
        <f t="shared" si="2"/>
        <v>85859.997799999997</v>
      </c>
      <c r="P59">
        <f t="shared" si="3"/>
        <v>3999.9993999999997</v>
      </c>
      <c r="Q59">
        <f t="shared" si="4"/>
        <v>9395.9977999999992</v>
      </c>
      <c r="R59" t="s">
        <v>132</v>
      </c>
      <c r="S59" t="s">
        <v>32</v>
      </c>
      <c r="T59" t="s">
        <v>133</v>
      </c>
      <c r="U59" t="s">
        <v>175</v>
      </c>
      <c r="V59" t="s">
        <v>35</v>
      </c>
      <c r="W59" t="s">
        <v>101</v>
      </c>
      <c r="X59" t="s">
        <v>546</v>
      </c>
      <c r="Y59" t="s">
        <v>445</v>
      </c>
      <c r="Z59" t="s">
        <v>54</v>
      </c>
      <c r="AA59" t="s">
        <v>547</v>
      </c>
      <c r="AB59" t="s">
        <v>548</v>
      </c>
      <c r="AC59" t="s">
        <v>54</v>
      </c>
      <c r="AD59" t="s">
        <v>41</v>
      </c>
    </row>
    <row r="60" spans="1:30" x14ac:dyDescent="0.25">
      <c r="A60">
        <v>59</v>
      </c>
      <c r="B60" t="s">
        <v>549</v>
      </c>
      <c r="C60" t="s">
        <v>550</v>
      </c>
      <c r="D60" t="s">
        <v>551</v>
      </c>
      <c r="E60" t="s">
        <v>552</v>
      </c>
      <c r="F60" t="s">
        <v>553</v>
      </c>
      <c r="G60" t="s">
        <v>554</v>
      </c>
      <c r="H60">
        <v>152541.54</v>
      </c>
      <c r="I60">
        <v>29661.02</v>
      </c>
      <c r="J60">
        <v>122880.52</v>
      </c>
      <c r="K60">
        <v>0</v>
      </c>
      <c r="L60">
        <v>11869.060000000001</v>
      </c>
      <c r="M60">
        <f t="shared" si="0"/>
        <v>179999.0172</v>
      </c>
      <c r="N60">
        <f t="shared" si="1"/>
        <v>35000.003599999996</v>
      </c>
      <c r="O60">
        <f t="shared" si="2"/>
        <v>144999.01360000001</v>
      </c>
      <c r="P60">
        <f t="shared" si="3"/>
        <v>0</v>
      </c>
      <c r="Q60">
        <f t="shared" si="4"/>
        <v>14005.490800000001</v>
      </c>
      <c r="R60" t="s">
        <v>48</v>
      </c>
      <c r="S60" t="s">
        <v>32</v>
      </c>
      <c r="T60" t="s">
        <v>133</v>
      </c>
      <c r="U60" t="s">
        <v>175</v>
      </c>
      <c r="V60" t="s">
        <v>35</v>
      </c>
      <c r="W60" t="s">
        <v>101</v>
      </c>
      <c r="X60" t="s">
        <v>555</v>
      </c>
      <c r="Y60" t="s">
        <v>556</v>
      </c>
      <c r="Z60" t="s">
        <v>54</v>
      </c>
      <c r="AA60" t="s">
        <v>54</v>
      </c>
      <c r="AB60" t="s">
        <v>557</v>
      </c>
      <c r="AC60" t="s">
        <v>54</v>
      </c>
      <c r="AD60" t="s">
        <v>54</v>
      </c>
    </row>
    <row r="61" spans="1:30" x14ac:dyDescent="0.25">
      <c r="A61">
        <v>60</v>
      </c>
      <c r="B61" t="s">
        <v>558</v>
      </c>
      <c r="C61" t="s">
        <v>559</v>
      </c>
      <c r="D61" t="s">
        <v>560</v>
      </c>
      <c r="E61" t="s">
        <v>561</v>
      </c>
      <c r="F61" t="s">
        <v>562</v>
      </c>
      <c r="G61" t="s">
        <v>563</v>
      </c>
      <c r="H61">
        <v>76271.19</v>
      </c>
      <c r="I61">
        <v>4237.29</v>
      </c>
      <c r="J61">
        <v>72033.900000000009</v>
      </c>
      <c r="K61">
        <v>21186.44</v>
      </c>
      <c r="L61">
        <v>29661.02</v>
      </c>
      <c r="M61">
        <f t="shared" si="0"/>
        <v>90000.004199999996</v>
      </c>
      <c r="N61">
        <f t="shared" si="1"/>
        <v>5000.0021999999999</v>
      </c>
      <c r="O61">
        <f t="shared" si="2"/>
        <v>85000.002000000008</v>
      </c>
      <c r="P61">
        <f t="shared" si="3"/>
        <v>24999.999199999998</v>
      </c>
      <c r="Q61">
        <f t="shared" si="4"/>
        <v>35000.003599999996</v>
      </c>
      <c r="R61" t="s">
        <v>132</v>
      </c>
      <c r="S61" t="s">
        <v>32</v>
      </c>
      <c r="T61" t="s">
        <v>133</v>
      </c>
      <c r="U61" t="s">
        <v>134</v>
      </c>
      <c r="V61" t="s">
        <v>77</v>
      </c>
      <c r="W61" t="s">
        <v>101</v>
      </c>
      <c r="X61" t="s">
        <v>564</v>
      </c>
      <c r="Y61" t="s">
        <v>565</v>
      </c>
      <c r="Z61" t="s">
        <v>54</v>
      </c>
      <c r="AA61" t="s">
        <v>566</v>
      </c>
      <c r="AB61" t="s">
        <v>567</v>
      </c>
      <c r="AC61" t="s">
        <v>54</v>
      </c>
      <c r="AD61" t="s">
        <v>54</v>
      </c>
    </row>
    <row r="62" spans="1:30" x14ac:dyDescent="0.25">
      <c r="A62">
        <v>61</v>
      </c>
      <c r="B62" t="s">
        <v>558</v>
      </c>
      <c r="C62" t="s">
        <v>568</v>
      </c>
      <c r="D62" t="s">
        <v>569</v>
      </c>
      <c r="E62" t="s">
        <v>570</v>
      </c>
      <c r="F62" t="s">
        <v>571</v>
      </c>
      <c r="G62" t="s">
        <v>572</v>
      </c>
      <c r="H62">
        <v>68000</v>
      </c>
      <c r="I62">
        <v>0</v>
      </c>
      <c r="J62">
        <v>68000</v>
      </c>
      <c r="K62">
        <v>2542.37</v>
      </c>
      <c r="L62">
        <v>1234.5200000000002</v>
      </c>
      <c r="M62">
        <f t="shared" si="0"/>
        <v>80240</v>
      </c>
      <c r="N62">
        <f t="shared" si="1"/>
        <v>0</v>
      </c>
      <c r="O62">
        <f t="shared" si="2"/>
        <v>80240</v>
      </c>
      <c r="P62">
        <f t="shared" si="3"/>
        <v>2999.9965999999995</v>
      </c>
      <c r="Q62">
        <f t="shared" si="4"/>
        <v>1456.7336000000003</v>
      </c>
      <c r="R62" t="s">
        <v>111</v>
      </c>
      <c r="S62" t="s">
        <v>32</v>
      </c>
      <c r="T62" t="s">
        <v>112</v>
      </c>
      <c r="U62" t="s">
        <v>166</v>
      </c>
      <c r="V62" t="s">
        <v>77</v>
      </c>
      <c r="W62" t="s">
        <v>101</v>
      </c>
      <c r="X62" t="s">
        <v>573</v>
      </c>
      <c r="Y62" t="s">
        <v>168</v>
      </c>
      <c r="Z62" t="s">
        <v>54</v>
      </c>
      <c r="AA62" t="s">
        <v>574</v>
      </c>
      <c r="AB62" t="s">
        <v>575</v>
      </c>
      <c r="AC62" t="s">
        <v>40</v>
      </c>
      <c r="AD62" t="s">
        <v>54</v>
      </c>
    </row>
    <row r="63" spans="1:30" x14ac:dyDescent="0.25">
      <c r="A63">
        <v>62</v>
      </c>
      <c r="B63" t="s">
        <v>576</v>
      </c>
      <c r="C63" t="s">
        <v>577</v>
      </c>
      <c r="D63" t="s">
        <v>578</v>
      </c>
      <c r="E63" t="s">
        <v>579</v>
      </c>
      <c r="F63" t="s">
        <v>580</v>
      </c>
      <c r="G63" t="s">
        <v>581</v>
      </c>
      <c r="H63">
        <v>76272.2</v>
      </c>
      <c r="I63">
        <v>0</v>
      </c>
      <c r="J63">
        <v>76272.2</v>
      </c>
      <c r="K63">
        <v>16526.27</v>
      </c>
      <c r="L63">
        <v>0</v>
      </c>
      <c r="M63">
        <f t="shared" si="0"/>
        <v>90001.195999999996</v>
      </c>
      <c r="N63">
        <f t="shared" si="1"/>
        <v>0</v>
      </c>
      <c r="O63">
        <f t="shared" si="2"/>
        <v>90001.195999999996</v>
      </c>
      <c r="P63">
        <f t="shared" si="3"/>
        <v>19500.998599999999</v>
      </c>
      <c r="Q63">
        <f t="shared" si="4"/>
        <v>0</v>
      </c>
      <c r="R63" t="s">
        <v>111</v>
      </c>
      <c r="S63" t="s">
        <v>32</v>
      </c>
      <c r="T63" t="s">
        <v>112</v>
      </c>
      <c r="U63" t="s">
        <v>166</v>
      </c>
      <c r="V63" t="s">
        <v>35</v>
      </c>
      <c r="W63" t="s">
        <v>101</v>
      </c>
      <c r="X63" t="s">
        <v>582</v>
      </c>
      <c r="Y63" t="s">
        <v>583</v>
      </c>
      <c r="Z63" t="s">
        <v>54</v>
      </c>
      <c r="AA63" t="s">
        <v>54</v>
      </c>
      <c r="AB63" t="s">
        <v>584</v>
      </c>
      <c r="AC63" t="s">
        <v>40</v>
      </c>
      <c r="AD63" t="s">
        <v>41</v>
      </c>
    </row>
    <row r="64" spans="1:30" x14ac:dyDescent="0.25">
      <c r="A64">
        <v>63</v>
      </c>
      <c r="B64" t="s">
        <v>585</v>
      </c>
      <c r="C64" t="s">
        <v>586</v>
      </c>
      <c r="D64" t="s">
        <v>587</v>
      </c>
      <c r="E64" t="s">
        <v>588</v>
      </c>
      <c r="F64" t="s">
        <v>589</v>
      </c>
      <c r="G64" t="s">
        <v>590</v>
      </c>
      <c r="H64">
        <v>64633.83</v>
      </c>
      <c r="I64">
        <v>0</v>
      </c>
      <c r="J64">
        <v>64633.83</v>
      </c>
      <c r="K64">
        <v>8500</v>
      </c>
      <c r="L64">
        <v>0</v>
      </c>
      <c r="M64">
        <f t="shared" si="0"/>
        <v>76267.919399999999</v>
      </c>
      <c r="N64">
        <f t="shared" si="1"/>
        <v>0</v>
      </c>
      <c r="O64">
        <f t="shared" si="2"/>
        <v>76267.919399999999</v>
      </c>
      <c r="P64">
        <f t="shared" si="3"/>
        <v>10030</v>
      </c>
      <c r="Q64">
        <f t="shared" si="4"/>
        <v>0</v>
      </c>
      <c r="R64" t="s">
        <v>111</v>
      </c>
      <c r="S64" t="s">
        <v>32</v>
      </c>
      <c r="T64" t="s">
        <v>330</v>
      </c>
      <c r="U64" t="s">
        <v>331</v>
      </c>
      <c r="V64" t="s">
        <v>35</v>
      </c>
      <c r="W64" t="s">
        <v>101</v>
      </c>
      <c r="X64" t="s">
        <v>591</v>
      </c>
      <c r="Y64" t="s">
        <v>592</v>
      </c>
      <c r="Z64" t="s">
        <v>54</v>
      </c>
      <c r="AA64" t="s">
        <v>54</v>
      </c>
      <c r="AB64" t="s">
        <v>593</v>
      </c>
      <c r="AC64" t="s">
        <v>54</v>
      </c>
      <c r="AD64" t="s">
        <v>54</v>
      </c>
    </row>
    <row r="65" spans="1:30" x14ac:dyDescent="0.25">
      <c r="A65">
        <v>64</v>
      </c>
      <c r="B65" t="s">
        <v>594</v>
      </c>
      <c r="C65" t="s">
        <v>595</v>
      </c>
      <c r="D65" t="s">
        <v>596</v>
      </c>
      <c r="E65" t="s">
        <v>597</v>
      </c>
      <c r="F65" t="s">
        <v>598</v>
      </c>
      <c r="G65" t="s">
        <v>599</v>
      </c>
      <c r="H65">
        <v>77000</v>
      </c>
      <c r="I65">
        <v>0</v>
      </c>
      <c r="J65">
        <v>77000</v>
      </c>
      <c r="K65">
        <v>27118.640000000007</v>
      </c>
      <c r="L65">
        <v>0</v>
      </c>
      <c r="M65">
        <f t="shared" si="0"/>
        <v>90860</v>
      </c>
      <c r="N65">
        <f t="shared" si="1"/>
        <v>0</v>
      </c>
      <c r="O65">
        <f t="shared" si="2"/>
        <v>90860</v>
      </c>
      <c r="P65">
        <f t="shared" si="3"/>
        <v>31999.995200000005</v>
      </c>
      <c r="Q65">
        <f t="shared" si="4"/>
        <v>0</v>
      </c>
      <c r="R65" t="s">
        <v>132</v>
      </c>
      <c r="S65" t="s">
        <v>32</v>
      </c>
      <c r="T65" t="s">
        <v>133</v>
      </c>
      <c r="U65" t="s">
        <v>175</v>
      </c>
      <c r="V65" t="s">
        <v>35</v>
      </c>
      <c r="W65" t="s">
        <v>101</v>
      </c>
      <c r="X65" t="s">
        <v>600</v>
      </c>
      <c r="Y65" t="s">
        <v>54</v>
      </c>
      <c r="Z65" t="s">
        <v>54</v>
      </c>
      <c r="AA65" t="s">
        <v>54</v>
      </c>
      <c r="AB65" t="s">
        <v>601</v>
      </c>
      <c r="AC65" t="s">
        <v>54</v>
      </c>
      <c r="AD65" t="s">
        <v>54</v>
      </c>
    </row>
    <row r="66" spans="1:30" x14ac:dyDescent="0.25">
      <c r="A66">
        <v>65</v>
      </c>
      <c r="B66" t="s">
        <v>602</v>
      </c>
      <c r="C66" t="s">
        <v>603</v>
      </c>
      <c r="D66" t="s">
        <v>604</v>
      </c>
      <c r="E66" t="s">
        <v>605</v>
      </c>
      <c r="F66" t="s">
        <v>606</v>
      </c>
      <c r="G66" t="s">
        <v>607</v>
      </c>
      <c r="H66">
        <v>71186.44</v>
      </c>
      <c r="I66">
        <v>8474.58</v>
      </c>
      <c r="J66">
        <v>62711.86</v>
      </c>
      <c r="K66">
        <v>0</v>
      </c>
      <c r="L66">
        <v>4584.74</v>
      </c>
      <c r="M66">
        <f t="shared" si="0"/>
        <v>83999.999199999991</v>
      </c>
      <c r="N66">
        <f t="shared" si="1"/>
        <v>10000.0044</v>
      </c>
      <c r="O66">
        <f t="shared" si="2"/>
        <v>73999.9948</v>
      </c>
      <c r="P66">
        <f t="shared" si="3"/>
        <v>0</v>
      </c>
      <c r="Q66">
        <f t="shared" si="4"/>
        <v>5409.9931999999999</v>
      </c>
      <c r="R66" t="s">
        <v>132</v>
      </c>
      <c r="S66" t="s">
        <v>32</v>
      </c>
      <c r="T66" t="s">
        <v>133</v>
      </c>
      <c r="U66" t="s">
        <v>134</v>
      </c>
      <c r="V66" t="s">
        <v>77</v>
      </c>
      <c r="W66" t="s">
        <v>101</v>
      </c>
      <c r="X66" t="s">
        <v>608</v>
      </c>
      <c r="Y66" t="s">
        <v>463</v>
      </c>
      <c r="Z66" t="s">
        <v>54</v>
      </c>
      <c r="AA66" t="s">
        <v>54</v>
      </c>
      <c r="AB66" t="s">
        <v>609</v>
      </c>
      <c r="AC66" t="s">
        <v>54</v>
      </c>
      <c r="AD66" t="s">
        <v>54</v>
      </c>
    </row>
    <row r="67" spans="1:30" x14ac:dyDescent="0.25">
      <c r="A67">
        <v>66</v>
      </c>
      <c r="B67" t="s">
        <v>602</v>
      </c>
      <c r="C67" t="s">
        <v>610</v>
      </c>
      <c r="D67" t="s">
        <v>611</v>
      </c>
      <c r="E67" t="s">
        <v>612</v>
      </c>
      <c r="F67" t="s">
        <v>613</v>
      </c>
      <c r="G67" t="s">
        <v>614</v>
      </c>
      <c r="H67">
        <v>71185</v>
      </c>
      <c r="I67">
        <v>8474.58</v>
      </c>
      <c r="J67">
        <v>62710.42</v>
      </c>
      <c r="K67">
        <v>0</v>
      </c>
      <c r="L67">
        <v>4924.59</v>
      </c>
      <c r="M67">
        <f t="shared" ref="M67:M92" si="5">H67*1.18</f>
        <v>83998.299999999988</v>
      </c>
      <c r="N67">
        <f t="shared" ref="N67:N92" si="6">I67*1.18</f>
        <v>10000.0044</v>
      </c>
      <c r="O67">
        <f t="shared" ref="O67:O92" si="7">J67*1.18</f>
        <v>73998.295599999998</v>
      </c>
      <c r="P67">
        <f t="shared" ref="P67:P92" si="8">K67*1.18</f>
        <v>0</v>
      </c>
      <c r="Q67">
        <f t="shared" ref="Q67:Q92" si="9">L67*1.18</f>
        <v>5811.0162</v>
      </c>
      <c r="R67" t="s">
        <v>132</v>
      </c>
      <c r="S67" t="s">
        <v>32</v>
      </c>
      <c r="T67" t="s">
        <v>133</v>
      </c>
      <c r="U67" t="s">
        <v>175</v>
      </c>
      <c r="V67" t="s">
        <v>35</v>
      </c>
      <c r="W67" t="s">
        <v>101</v>
      </c>
      <c r="X67" t="s">
        <v>615</v>
      </c>
      <c r="Y67" t="s">
        <v>463</v>
      </c>
      <c r="Z67" t="s">
        <v>54</v>
      </c>
      <c r="AA67" t="s">
        <v>616</v>
      </c>
      <c r="AB67" t="s">
        <v>617</v>
      </c>
      <c r="AC67" t="s">
        <v>54</v>
      </c>
      <c r="AD67" t="s">
        <v>54</v>
      </c>
    </row>
    <row r="68" spans="1:30" x14ac:dyDescent="0.25">
      <c r="A68">
        <v>67</v>
      </c>
      <c r="B68" t="s">
        <v>602</v>
      </c>
      <c r="C68" t="s">
        <v>618</v>
      </c>
      <c r="D68" t="s">
        <v>619</v>
      </c>
      <c r="E68" t="s">
        <v>620</v>
      </c>
      <c r="F68" t="s">
        <v>621</v>
      </c>
      <c r="G68" t="s">
        <v>622</v>
      </c>
      <c r="H68">
        <v>161016.94542372541</v>
      </c>
      <c r="I68">
        <v>4237.29</v>
      </c>
      <c r="J68">
        <v>156779.6554237254</v>
      </c>
      <c r="K68">
        <v>0</v>
      </c>
      <c r="L68">
        <v>5963.27</v>
      </c>
      <c r="M68">
        <f t="shared" si="5"/>
        <v>189999.99559999598</v>
      </c>
      <c r="N68">
        <f t="shared" si="6"/>
        <v>5000.0021999999999</v>
      </c>
      <c r="O68">
        <f t="shared" si="7"/>
        <v>184999.99339999596</v>
      </c>
      <c r="P68">
        <f t="shared" si="8"/>
        <v>0</v>
      </c>
      <c r="Q68">
        <f t="shared" si="9"/>
        <v>7036.6585999999998</v>
      </c>
      <c r="R68" t="s">
        <v>31</v>
      </c>
      <c r="S68" t="s">
        <v>32</v>
      </c>
      <c r="T68" t="s">
        <v>133</v>
      </c>
      <c r="U68" t="s">
        <v>134</v>
      </c>
      <c r="V68" t="s">
        <v>35</v>
      </c>
      <c r="W68" t="s">
        <v>101</v>
      </c>
      <c r="X68" t="s">
        <v>623</v>
      </c>
      <c r="Y68" t="s">
        <v>624</v>
      </c>
      <c r="Z68" t="s">
        <v>54</v>
      </c>
      <c r="AA68" t="s">
        <v>625</v>
      </c>
      <c r="AB68" t="s">
        <v>626</v>
      </c>
      <c r="AC68" t="s">
        <v>54</v>
      </c>
      <c r="AD68" t="s">
        <v>54</v>
      </c>
    </row>
    <row r="69" spans="1:30" x14ac:dyDescent="0.25">
      <c r="A69">
        <v>68</v>
      </c>
      <c r="B69" t="s">
        <v>602</v>
      </c>
      <c r="C69" t="s">
        <v>627</v>
      </c>
      <c r="D69" t="s">
        <v>628</v>
      </c>
      <c r="E69" t="s">
        <v>629</v>
      </c>
      <c r="F69" t="s">
        <v>239</v>
      </c>
      <c r="G69" t="s">
        <v>630</v>
      </c>
      <c r="H69">
        <v>80508.600000000006</v>
      </c>
      <c r="I69">
        <v>5084.75</v>
      </c>
      <c r="J69">
        <v>75423.850000000006</v>
      </c>
      <c r="K69">
        <v>0</v>
      </c>
      <c r="L69">
        <v>2094.25</v>
      </c>
      <c r="M69">
        <f t="shared" si="5"/>
        <v>95000.148000000001</v>
      </c>
      <c r="N69">
        <f t="shared" si="6"/>
        <v>6000.0050000000001</v>
      </c>
      <c r="O69">
        <f t="shared" si="7"/>
        <v>89000.142999999996</v>
      </c>
      <c r="P69">
        <f t="shared" si="8"/>
        <v>0</v>
      </c>
      <c r="Q69">
        <f t="shared" si="9"/>
        <v>2471.2149999999997</v>
      </c>
      <c r="R69" t="s">
        <v>111</v>
      </c>
      <c r="S69" t="s">
        <v>32</v>
      </c>
      <c r="T69" t="s">
        <v>143</v>
      </c>
      <c r="U69" t="s">
        <v>144</v>
      </c>
      <c r="V69" t="s">
        <v>35</v>
      </c>
      <c r="W69" t="s">
        <v>101</v>
      </c>
      <c r="X69" t="s">
        <v>631</v>
      </c>
      <c r="Y69" t="s">
        <v>632</v>
      </c>
      <c r="Z69" t="s">
        <v>54</v>
      </c>
      <c r="AA69" t="s">
        <v>54</v>
      </c>
      <c r="AB69" t="s">
        <v>633</v>
      </c>
      <c r="AC69" t="s">
        <v>54</v>
      </c>
      <c r="AD69" t="s">
        <v>54</v>
      </c>
    </row>
    <row r="70" spans="1:30" x14ac:dyDescent="0.25">
      <c r="A70">
        <v>69</v>
      </c>
      <c r="B70" t="s">
        <v>602</v>
      </c>
      <c r="C70" t="s">
        <v>634</v>
      </c>
      <c r="D70" t="s">
        <v>635</v>
      </c>
      <c r="E70" t="s">
        <v>636</v>
      </c>
      <c r="F70" t="s">
        <v>637</v>
      </c>
      <c r="G70" t="s">
        <v>638</v>
      </c>
      <c r="H70">
        <v>76271.97</v>
      </c>
      <c r="I70">
        <v>4237.29</v>
      </c>
      <c r="J70">
        <v>72034.680000000008</v>
      </c>
      <c r="K70">
        <v>10169.5</v>
      </c>
      <c r="L70">
        <v>0</v>
      </c>
      <c r="M70">
        <f t="shared" si="5"/>
        <v>90000.924599999998</v>
      </c>
      <c r="N70">
        <f t="shared" si="6"/>
        <v>5000.0021999999999</v>
      </c>
      <c r="O70">
        <f t="shared" si="7"/>
        <v>85000.92240000001</v>
      </c>
      <c r="P70">
        <f t="shared" si="8"/>
        <v>12000.01</v>
      </c>
      <c r="Q70">
        <f t="shared" si="9"/>
        <v>0</v>
      </c>
      <c r="R70" t="s">
        <v>111</v>
      </c>
      <c r="S70" t="s">
        <v>32</v>
      </c>
      <c r="T70" t="s">
        <v>112</v>
      </c>
      <c r="U70" t="s">
        <v>113</v>
      </c>
      <c r="V70" t="s">
        <v>35</v>
      </c>
      <c r="W70" t="s">
        <v>101</v>
      </c>
      <c r="X70" t="s">
        <v>639</v>
      </c>
      <c r="Y70" t="s">
        <v>54</v>
      </c>
      <c r="Z70" t="s">
        <v>635</v>
      </c>
      <c r="AA70" t="s">
        <v>635</v>
      </c>
      <c r="AB70" t="s">
        <v>54</v>
      </c>
      <c r="AC70" t="s">
        <v>54</v>
      </c>
      <c r="AD70" t="s">
        <v>54</v>
      </c>
    </row>
    <row r="71" spans="1:30" x14ac:dyDescent="0.25">
      <c r="A71">
        <v>70</v>
      </c>
      <c r="B71" t="s">
        <v>640</v>
      </c>
      <c r="C71" t="s">
        <v>641</v>
      </c>
      <c r="D71" t="s">
        <v>642</v>
      </c>
      <c r="E71" t="s">
        <v>643</v>
      </c>
      <c r="F71" t="s">
        <v>644</v>
      </c>
      <c r="G71" t="s">
        <v>645</v>
      </c>
      <c r="H71">
        <v>76272.2</v>
      </c>
      <c r="I71">
        <v>0</v>
      </c>
      <c r="J71">
        <v>76272.2</v>
      </c>
      <c r="K71">
        <v>24576.269999999997</v>
      </c>
      <c r="L71">
        <v>0</v>
      </c>
      <c r="M71">
        <f t="shared" si="5"/>
        <v>90001.195999999996</v>
      </c>
      <c r="N71">
        <f t="shared" si="6"/>
        <v>0</v>
      </c>
      <c r="O71">
        <f t="shared" si="7"/>
        <v>90001.195999999996</v>
      </c>
      <c r="P71">
        <f t="shared" si="8"/>
        <v>28999.998599999995</v>
      </c>
      <c r="Q71">
        <f t="shared" si="9"/>
        <v>0</v>
      </c>
      <c r="R71" t="s">
        <v>111</v>
      </c>
      <c r="S71" t="s">
        <v>32</v>
      </c>
      <c r="T71" t="s">
        <v>112</v>
      </c>
      <c r="U71" t="s">
        <v>166</v>
      </c>
      <c r="V71" t="s">
        <v>35</v>
      </c>
      <c r="W71" t="s">
        <v>36</v>
      </c>
      <c r="X71" t="s">
        <v>646</v>
      </c>
      <c r="Y71" t="s">
        <v>54</v>
      </c>
      <c r="Z71" t="s">
        <v>54</v>
      </c>
      <c r="AA71" t="s">
        <v>647</v>
      </c>
      <c r="AB71" t="s">
        <v>648</v>
      </c>
      <c r="AC71" t="s">
        <v>54</v>
      </c>
      <c r="AD71" t="s">
        <v>54</v>
      </c>
    </row>
    <row r="72" spans="1:30" x14ac:dyDescent="0.25">
      <c r="A72">
        <v>71</v>
      </c>
      <c r="B72" t="s">
        <v>649</v>
      </c>
      <c r="C72" t="s">
        <v>650</v>
      </c>
      <c r="D72" t="s">
        <v>651</v>
      </c>
      <c r="E72" t="s">
        <v>652</v>
      </c>
      <c r="F72" t="s">
        <v>653</v>
      </c>
      <c r="G72" t="s">
        <v>654</v>
      </c>
      <c r="H72">
        <v>77000</v>
      </c>
      <c r="I72">
        <v>0</v>
      </c>
      <c r="J72">
        <v>77000</v>
      </c>
      <c r="K72">
        <v>12711.860000000002</v>
      </c>
      <c r="L72">
        <v>0</v>
      </c>
      <c r="M72">
        <f t="shared" si="5"/>
        <v>90860</v>
      </c>
      <c r="N72">
        <f t="shared" si="6"/>
        <v>0</v>
      </c>
      <c r="O72">
        <f t="shared" si="7"/>
        <v>90860</v>
      </c>
      <c r="P72">
        <f t="shared" si="8"/>
        <v>14999.994800000002</v>
      </c>
      <c r="Q72">
        <f t="shared" si="9"/>
        <v>0</v>
      </c>
      <c r="R72" t="s">
        <v>132</v>
      </c>
      <c r="S72" t="s">
        <v>32</v>
      </c>
      <c r="T72" t="s">
        <v>133</v>
      </c>
      <c r="U72" t="s">
        <v>175</v>
      </c>
      <c r="V72" t="s">
        <v>35</v>
      </c>
      <c r="W72" t="s">
        <v>101</v>
      </c>
      <c r="X72" t="s">
        <v>655</v>
      </c>
      <c r="Y72" t="s">
        <v>54</v>
      </c>
      <c r="Z72" t="s">
        <v>54</v>
      </c>
      <c r="AA72" t="s">
        <v>54</v>
      </c>
      <c r="AB72" t="s">
        <v>656</v>
      </c>
      <c r="AC72" t="s">
        <v>54</v>
      </c>
      <c r="AD72" t="s">
        <v>54</v>
      </c>
    </row>
    <row r="73" spans="1:30" x14ac:dyDescent="0.25">
      <c r="A73">
        <v>72</v>
      </c>
      <c r="B73" t="s">
        <v>657</v>
      </c>
      <c r="C73" t="s">
        <v>658</v>
      </c>
      <c r="D73" t="s">
        <v>659</v>
      </c>
      <c r="E73" t="s">
        <v>660</v>
      </c>
      <c r="F73" t="s">
        <v>661</v>
      </c>
      <c r="G73" t="s">
        <v>662</v>
      </c>
      <c r="H73">
        <v>87000</v>
      </c>
      <c r="I73">
        <v>0</v>
      </c>
      <c r="J73">
        <v>87000</v>
      </c>
      <c r="K73">
        <v>8474.58</v>
      </c>
      <c r="L73">
        <v>0</v>
      </c>
      <c r="M73">
        <f t="shared" si="5"/>
        <v>102660</v>
      </c>
      <c r="N73">
        <f t="shared" si="6"/>
        <v>0</v>
      </c>
      <c r="O73">
        <f t="shared" si="7"/>
        <v>102660</v>
      </c>
      <c r="P73">
        <f t="shared" si="8"/>
        <v>10000.0044</v>
      </c>
      <c r="Q73">
        <f t="shared" si="9"/>
        <v>0</v>
      </c>
      <c r="R73" t="s">
        <v>132</v>
      </c>
      <c r="S73" t="s">
        <v>32</v>
      </c>
      <c r="T73" t="s">
        <v>133</v>
      </c>
      <c r="U73" t="s">
        <v>175</v>
      </c>
      <c r="V73" t="s">
        <v>35</v>
      </c>
      <c r="W73" t="s">
        <v>101</v>
      </c>
      <c r="X73" t="s">
        <v>663</v>
      </c>
      <c r="Y73" t="s">
        <v>463</v>
      </c>
      <c r="Z73" t="s">
        <v>54</v>
      </c>
      <c r="AA73" t="s">
        <v>54</v>
      </c>
      <c r="AB73" t="s">
        <v>664</v>
      </c>
      <c r="AC73" t="s">
        <v>54</v>
      </c>
      <c r="AD73" t="s">
        <v>54</v>
      </c>
    </row>
    <row r="74" spans="1:30" x14ac:dyDescent="0.25">
      <c r="A74">
        <v>73</v>
      </c>
      <c r="B74" t="s">
        <v>665</v>
      </c>
      <c r="C74" t="s">
        <v>666</v>
      </c>
      <c r="D74" t="s">
        <v>667</v>
      </c>
      <c r="E74" t="s">
        <v>668</v>
      </c>
      <c r="F74" t="s">
        <v>669</v>
      </c>
      <c r="G74" t="s">
        <v>670</v>
      </c>
      <c r="H74">
        <v>80505.084745756874</v>
      </c>
      <c r="I74">
        <v>847.46</v>
      </c>
      <c r="J74">
        <v>79657.624745756868</v>
      </c>
      <c r="K74">
        <v>0</v>
      </c>
      <c r="L74">
        <v>2361.0099999999998</v>
      </c>
      <c r="M74">
        <f t="shared" si="5"/>
        <v>94995.999999993102</v>
      </c>
      <c r="N74">
        <f t="shared" si="6"/>
        <v>1000.0028</v>
      </c>
      <c r="O74">
        <f t="shared" si="7"/>
        <v>93995.9971999931</v>
      </c>
      <c r="P74">
        <f t="shared" si="8"/>
        <v>0</v>
      </c>
      <c r="Q74">
        <f t="shared" si="9"/>
        <v>2785.9917999999998</v>
      </c>
      <c r="R74" t="s">
        <v>98</v>
      </c>
      <c r="S74" t="s">
        <v>32</v>
      </c>
      <c r="T74" t="s">
        <v>143</v>
      </c>
      <c r="U74" t="s">
        <v>144</v>
      </c>
      <c r="V74" t="s">
        <v>35</v>
      </c>
      <c r="W74" t="s">
        <v>101</v>
      </c>
      <c r="X74" t="s">
        <v>671</v>
      </c>
      <c r="Y74" t="s">
        <v>672</v>
      </c>
      <c r="Z74" t="s">
        <v>54</v>
      </c>
      <c r="AA74" t="s">
        <v>54</v>
      </c>
      <c r="AB74" t="s">
        <v>673</v>
      </c>
      <c r="AC74" t="s">
        <v>54</v>
      </c>
      <c r="AD74" t="s">
        <v>54</v>
      </c>
    </row>
    <row r="75" spans="1:30" x14ac:dyDescent="0.25">
      <c r="A75">
        <v>74</v>
      </c>
      <c r="B75" t="s">
        <v>665</v>
      </c>
      <c r="C75" t="s">
        <v>674</v>
      </c>
      <c r="D75" t="s">
        <v>675</v>
      </c>
      <c r="E75" t="s">
        <v>676</v>
      </c>
      <c r="F75" t="s">
        <v>190</v>
      </c>
      <c r="G75" t="s">
        <v>677</v>
      </c>
      <c r="H75">
        <v>78050.399999999994</v>
      </c>
      <c r="I75">
        <v>0</v>
      </c>
      <c r="J75">
        <v>78050.399999999994</v>
      </c>
      <c r="K75">
        <v>25169.499999999996</v>
      </c>
      <c r="L75">
        <v>0</v>
      </c>
      <c r="M75">
        <f t="shared" si="5"/>
        <v>92099.471999999994</v>
      </c>
      <c r="N75">
        <f t="shared" si="6"/>
        <v>0</v>
      </c>
      <c r="O75">
        <f t="shared" si="7"/>
        <v>92099.471999999994</v>
      </c>
      <c r="P75">
        <f t="shared" si="8"/>
        <v>29700.009999999995</v>
      </c>
      <c r="Q75">
        <f t="shared" si="9"/>
        <v>0</v>
      </c>
      <c r="R75" t="s">
        <v>111</v>
      </c>
      <c r="S75" t="s">
        <v>32</v>
      </c>
      <c r="T75" t="s">
        <v>112</v>
      </c>
      <c r="U75" t="s">
        <v>166</v>
      </c>
      <c r="V75" t="s">
        <v>77</v>
      </c>
      <c r="W75" t="s">
        <v>36</v>
      </c>
      <c r="X75" t="s">
        <v>201</v>
      </c>
      <c r="Y75" t="s">
        <v>202</v>
      </c>
      <c r="Z75" t="s">
        <v>54</v>
      </c>
      <c r="AA75" t="s">
        <v>678</v>
      </c>
      <c r="AB75" t="s">
        <v>679</v>
      </c>
      <c r="AC75" t="s">
        <v>54</v>
      </c>
      <c r="AD75" t="s">
        <v>54</v>
      </c>
    </row>
    <row r="76" spans="1:30" x14ac:dyDescent="0.25">
      <c r="A76">
        <v>75</v>
      </c>
      <c r="B76" t="s">
        <v>680</v>
      </c>
      <c r="C76" t="s">
        <v>681</v>
      </c>
      <c r="D76" t="s">
        <v>682</v>
      </c>
      <c r="E76" t="s">
        <v>683</v>
      </c>
      <c r="F76" t="s">
        <v>684</v>
      </c>
      <c r="G76" t="s">
        <v>685</v>
      </c>
      <c r="H76">
        <v>72033.899999999994</v>
      </c>
      <c r="I76">
        <v>8474.58</v>
      </c>
      <c r="J76">
        <v>63559.319999999992</v>
      </c>
      <c r="K76">
        <v>4237.29</v>
      </c>
      <c r="L76">
        <v>0</v>
      </c>
      <c r="M76">
        <f t="shared" si="5"/>
        <v>85000.001999999993</v>
      </c>
      <c r="N76">
        <f t="shared" si="6"/>
        <v>10000.0044</v>
      </c>
      <c r="O76">
        <f t="shared" si="7"/>
        <v>74999.997599999988</v>
      </c>
      <c r="P76">
        <f t="shared" si="8"/>
        <v>5000.0021999999999</v>
      </c>
      <c r="Q76">
        <f t="shared" si="9"/>
        <v>0</v>
      </c>
      <c r="R76" t="s">
        <v>132</v>
      </c>
      <c r="S76" t="s">
        <v>32</v>
      </c>
      <c r="T76" t="s">
        <v>133</v>
      </c>
      <c r="U76" t="s">
        <v>134</v>
      </c>
      <c r="V76" t="s">
        <v>77</v>
      </c>
      <c r="W76" t="s">
        <v>101</v>
      </c>
      <c r="X76" t="s">
        <v>686</v>
      </c>
      <c r="Y76" t="s">
        <v>242</v>
      </c>
      <c r="Z76" t="s">
        <v>54</v>
      </c>
      <c r="AA76" t="s">
        <v>54</v>
      </c>
      <c r="AB76" t="s">
        <v>687</v>
      </c>
      <c r="AC76" t="s">
        <v>54</v>
      </c>
      <c r="AD76" t="s">
        <v>54</v>
      </c>
    </row>
    <row r="77" spans="1:30" x14ac:dyDescent="0.25">
      <c r="A77">
        <v>76</v>
      </c>
      <c r="B77" t="s">
        <v>688</v>
      </c>
      <c r="C77" t="s">
        <v>689</v>
      </c>
      <c r="D77" t="s">
        <v>690</v>
      </c>
      <c r="E77" t="s">
        <v>691</v>
      </c>
      <c r="F77" t="s">
        <v>418</v>
      </c>
      <c r="G77" t="s">
        <v>692</v>
      </c>
      <c r="H77">
        <v>76271.188644059992</v>
      </c>
      <c r="I77">
        <v>5084.75</v>
      </c>
      <c r="J77">
        <v>71186.438644059992</v>
      </c>
      <c r="K77">
        <v>3250</v>
      </c>
      <c r="L77">
        <v>0</v>
      </c>
      <c r="M77">
        <f t="shared" si="5"/>
        <v>90000.002599990781</v>
      </c>
      <c r="N77">
        <f t="shared" si="6"/>
        <v>6000.0050000000001</v>
      </c>
      <c r="O77">
        <f t="shared" si="7"/>
        <v>83999.997599990791</v>
      </c>
      <c r="P77">
        <f t="shared" si="8"/>
        <v>3835</v>
      </c>
      <c r="Q77">
        <f t="shared" si="9"/>
        <v>0</v>
      </c>
      <c r="R77" t="s">
        <v>98</v>
      </c>
      <c r="S77" t="s">
        <v>32</v>
      </c>
      <c r="T77" t="s">
        <v>112</v>
      </c>
      <c r="U77" t="s">
        <v>113</v>
      </c>
      <c r="V77" t="s">
        <v>35</v>
      </c>
      <c r="W77" t="s">
        <v>101</v>
      </c>
      <c r="X77" t="s">
        <v>693</v>
      </c>
      <c r="Y77" t="s">
        <v>54</v>
      </c>
      <c r="Z77" t="s">
        <v>690</v>
      </c>
      <c r="AA77" t="s">
        <v>690</v>
      </c>
      <c r="AB77" t="s">
        <v>54</v>
      </c>
      <c r="AC77" t="s">
        <v>54</v>
      </c>
      <c r="AD77" t="s">
        <v>54</v>
      </c>
    </row>
    <row r="78" spans="1:30" x14ac:dyDescent="0.25">
      <c r="A78">
        <v>77</v>
      </c>
      <c r="B78" t="s">
        <v>694</v>
      </c>
      <c r="C78" t="s">
        <v>695</v>
      </c>
      <c r="D78" t="s">
        <v>696</v>
      </c>
      <c r="E78" t="s">
        <v>697</v>
      </c>
      <c r="F78" t="s">
        <v>698</v>
      </c>
      <c r="G78" t="s">
        <v>699</v>
      </c>
      <c r="H78">
        <v>76271</v>
      </c>
      <c r="I78">
        <v>12711.86</v>
      </c>
      <c r="J78">
        <v>63559.14</v>
      </c>
      <c r="K78">
        <v>0</v>
      </c>
      <c r="L78">
        <v>0</v>
      </c>
      <c r="M78">
        <f t="shared" si="5"/>
        <v>89999.78</v>
      </c>
      <c r="N78">
        <f t="shared" si="6"/>
        <v>14999.9948</v>
      </c>
      <c r="O78">
        <f t="shared" si="7"/>
        <v>74999.785199999998</v>
      </c>
      <c r="P78">
        <f t="shared" si="8"/>
        <v>0</v>
      </c>
      <c r="Q78">
        <f t="shared" si="9"/>
        <v>0</v>
      </c>
      <c r="R78" t="s">
        <v>132</v>
      </c>
      <c r="S78" t="s">
        <v>32</v>
      </c>
      <c r="T78" t="s">
        <v>133</v>
      </c>
      <c r="U78" t="s">
        <v>175</v>
      </c>
      <c r="V78" t="s">
        <v>35</v>
      </c>
      <c r="W78" t="s">
        <v>36</v>
      </c>
      <c r="X78" t="s">
        <v>700</v>
      </c>
      <c r="Y78" t="s">
        <v>322</v>
      </c>
      <c r="Z78" t="s">
        <v>54</v>
      </c>
      <c r="AA78" t="s">
        <v>54</v>
      </c>
      <c r="AB78" t="s">
        <v>701</v>
      </c>
      <c r="AC78" t="s">
        <v>54</v>
      </c>
      <c r="AD78" t="s">
        <v>54</v>
      </c>
    </row>
    <row r="79" spans="1:30" x14ac:dyDescent="0.25">
      <c r="A79">
        <v>78</v>
      </c>
      <c r="B79" t="s">
        <v>694</v>
      </c>
      <c r="C79" t="s">
        <v>702</v>
      </c>
      <c r="D79" t="s">
        <v>703</v>
      </c>
      <c r="E79" t="s">
        <v>704</v>
      </c>
      <c r="F79" t="s">
        <v>418</v>
      </c>
      <c r="G79" t="s">
        <v>705</v>
      </c>
      <c r="H79">
        <v>81186.438644059992</v>
      </c>
      <c r="I79">
        <v>0</v>
      </c>
      <c r="J79">
        <v>81186.438644059992</v>
      </c>
      <c r="K79">
        <v>14406.779999999999</v>
      </c>
      <c r="L79">
        <v>0</v>
      </c>
      <c r="M79">
        <f t="shared" si="5"/>
        <v>95799.997599990791</v>
      </c>
      <c r="N79">
        <f t="shared" si="6"/>
        <v>0</v>
      </c>
      <c r="O79">
        <f t="shared" si="7"/>
        <v>95799.997599990791</v>
      </c>
      <c r="P79">
        <f t="shared" si="8"/>
        <v>17000.000399999997</v>
      </c>
      <c r="Q79">
        <f t="shared" si="9"/>
        <v>0</v>
      </c>
      <c r="R79" t="s">
        <v>98</v>
      </c>
      <c r="S79" t="s">
        <v>32</v>
      </c>
      <c r="T79" t="s">
        <v>112</v>
      </c>
      <c r="U79" t="s">
        <v>113</v>
      </c>
      <c r="V79" t="s">
        <v>77</v>
      </c>
      <c r="W79" t="s">
        <v>101</v>
      </c>
      <c r="X79" t="s">
        <v>706</v>
      </c>
      <c r="Y79" t="s">
        <v>54</v>
      </c>
      <c r="Z79" t="s">
        <v>703</v>
      </c>
      <c r="AA79" t="s">
        <v>707</v>
      </c>
      <c r="AB79" t="s">
        <v>54</v>
      </c>
      <c r="AC79" t="s">
        <v>54</v>
      </c>
      <c r="AD79" t="s">
        <v>54</v>
      </c>
    </row>
    <row r="80" spans="1:30" x14ac:dyDescent="0.25">
      <c r="A80">
        <v>79</v>
      </c>
      <c r="B80" t="s">
        <v>694</v>
      </c>
      <c r="C80" t="s">
        <v>708</v>
      </c>
      <c r="D80" t="s">
        <v>709</v>
      </c>
      <c r="E80" t="s">
        <v>710</v>
      </c>
      <c r="F80" t="s">
        <v>711</v>
      </c>
      <c r="G80" t="s">
        <v>712</v>
      </c>
      <c r="H80">
        <v>76271.188644059992</v>
      </c>
      <c r="I80">
        <v>0</v>
      </c>
      <c r="J80">
        <v>76271.188644059992</v>
      </c>
      <c r="K80">
        <v>12711.86</v>
      </c>
      <c r="L80">
        <v>0</v>
      </c>
      <c r="M80">
        <f t="shared" si="5"/>
        <v>90000.002599990781</v>
      </c>
      <c r="N80">
        <f t="shared" si="6"/>
        <v>0</v>
      </c>
      <c r="O80">
        <f t="shared" si="7"/>
        <v>90000.002599990781</v>
      </c>
      <c r="P80">
        <f t="shared" si="8"/>
        <v>14999.9948</v>
      </c>
      <c r="Q80">
        <f t="shared" si="9"/>
        <v>0</v>
      </c>
      <c r="R80" t="s">
        <v>98</v>
      </c>
      <c r="S80" t="s">
        <v>32</v>
      </c>
      <c r="T80" t="s">
        <v>112</v>
      </c>
      <c r="U80" t="s">
        <v>113</v>
      </c>
      <c r="V80" t="s">
        <v>35</v>
      </c>
      <c r="W80" t="s">
        <v>101</v>
      </c>
      <c r="X80" t="s">
        <v>582</v>
      </c>
      <c r="Y80" t="s">
        <v>54</v>
      </c>
      <c r="Z80" t="s">
        <v>713</v>
      </c>
      <c r="AA80" t="s">
        <v>713</v>
      </c>
      <c r="AB80" t="s">
        <v>54</v>
      </c>
      <c r="AC80" t="s">
        <v>54</v>
      </c>
      <c r="AD80" t="s">
        <v>54</v>
      </c>
    </row>
    <row r="81" spans="1:30" x14ac:dyDescent="0.25">
      <c r="A81">
        <v>80</v>
      </c>
      <c r="B81" t="s">
        <v>714</v>
      </c>
      <c r="C81" t="s">
        <v>715</v>
      </c>
      <c r="D81" t="s">
        <v>716</v>
      </c>
      <c r="E81" t="s">
        <v>717</v>
      </c>
      <c r="F81" t="s">
        <v>718</v>
      </c>
      <c r="G81" t="s">
        <v>719</v>
      </c>
      <c r="H81">
        <v>81186.438644059992</v>
      </c>
      <c r="I81">
        <v>0</v>
      </c>
      <c r="J81">
        <v>81186.438644059992</v>
      </c>
      <c r="K81">
        <v>12711.87</v>
      </c>
      <c r="L81">
        <v>0</v>
      </c>
      <c r="M81">
        <f t="shared" si="5"/>
        <v>95799.997599990791</v>
      </c>
      <c r="N81">
        <f t="shared" si="6"/>
        <v>0</v>
      </c>
      <c r="O81">
        <f t="shared" si="7"/>
        <v>95799.997599990791</v>
      </c>
      <c r="P81">
        <f t="shared" si="8"/>
        <v>15000.006600000001</v>
      </c>
      <c r="Q81">
        <f t="shared" si="9"/>
        <v>0</v>
      </c>
      <c r="R81" t="s">
        <v>98</v>
      </c>
      <c r="S81" t="s">
        <v>32</v>
      </c>
      <c r="T81" t="s">
        <v>112</v>
      </c>
      <c r="U81" t="s">
        <v>166</v>
      </c>
      <c r="V81" t="s">
        <v>77</v>
      </c>
      <c r="W81" t="s">
        <v>101</v>
      </c>
      <c r="X81" t="s">
        <v>720</v>
      </c>
      <c r="Y81" t="s">
        <v>721</v>
      </c>
      <c r="Z81" t="s">
        <v>54</v>
      </c>
      <c r="AA81" t="s">
        <v>722</v>
      </c>
      <c r="AB81" t="s">
        <v>723</v>
      </c>
      <c r="AC81" t="s">
        <v>40</v>
      </c>
      <c r="AD81" t="s">
        <v>214</v>
      </c>
    </row>
    <row r="82" spans="1:30" x14ac:dyDescent="0.25">
      <c r="A82">
        <v>81</v>
      </c>
      <c r="B82" t="s">
        <v>714</v>
      </c>
      <c r="C82" t="s">
        <v>724</v>
      </c>
      <c r="D82" t="s">
        <v>725</v>
      </c>
      <c r="E82" t="s">
        <v>726</v>
      </c>
      <c r="F82" t="s">
        <v>727</v>
      </c>
      <c r="G82" t="s">
        <v>728</v>
      </c>
      <c r="H82">
        <v>77000</v>
      </c>
      <c r="I82">
        <v>0</v>
      </c>
      <c r="J82">
        <v>77000</v>
      </c>
      <c r="K82">
        <v>25423.730000000003</v>
      </c>
      <c r="L82">
        <v>0</v>
      </c>
      <c r="M82">
        <f t="shared" si="5"/>
        <v>90860</v>
      </c>
      <c r="N82">
        <f t="shared" si="6"/>
        <v>0</v>
      </c>
      <c r="O82">
        <f t="shared" si="7"/>
        <v>90860</v>
      </c>
      <c r="P82">
        <f t="shared" si="8"/>
        <v>30000.001400000001</v>
      </c>
      <c r="Q82">
        <f t="shared" si="9"/>
        <v>0</v>
      </c>
      <c r="R82" t="s">
        <v>132</v>
      </c>
      <c r="S82" t="s">
        <v>32</v>
      </c>
      <c r="T82" t="s">
        <v>133</v>
      </c>
      <c r="U82" t="s">
        <v>175</v>
      </c>
      <c r="V82" t="s">
        <v>35</v>
      </c>
      <c r="W82" t="s">
        <v>101</v>
      </c>
      <c r="X82" t="s">
        <v>729</v>
      </c>
      <c r="Y82" t="s">
        <v>54</v>
      </c>
      <c r="Z82" t="s">
        <v>54</v>
      </c>
      <c r="AA82" t="s">
        <v>54</v>
      </c>
      <c r="AB82" t="s">
        <v>730</v>
      </c>
      <c r="AC82" t="s">
        <v>54</v>
      </c>
      <c r="AD82" t="s">
        <v>54</v>
      </c>
    </row>
    <row r="83" spans="1:30" x14ac:dyDescent="0.25">
      <c r="A83">
        <v>82</v>
      </c>
      <c r="B83" t="s">
        <v>731</v>
      </c>
      <c r="C83" t="s">
        <v>732</v>
      </c>
      <c r="D83" t="s">
        <v>733</v>
      </c>
      <c r="E83" t="s">
        <v>734</v>
      </c>
      <c r="F83" t="s">
        <v>735</v>
      </c>
      <c r="G83" t="s">
        <v>736</v>
      </c>
      <c r="H83">
        <v>83051.8</v>
      </c>
      <c r="I83">
        <v>5084.75</v>
      </c>
      <c r="J83">
        <v>77967.05</v>
      </c>
      <c r="K83">
        <v>0</v>
      </c>
      <c r="L83">
        <v>0</v>
      </c>
      <c r="M83">
        <f t="shared" si="5"/>
        <v>98001.123999999996</v>
      </c>
      <c r="N83">
        <f t="shared" si="6"/>
        <v>6000.0050000000001</v>
      </c>
      <c r="O83">
        <f t="shared" si="7"/>
        <v>92001.118999999992</v>
      </c>
      <c r="P83">
        <f t="shared" si="8"/>
        <v>0</v>
      </c>
      <c r="Q83">
        <f t="shared" si="9"/>
        <v>0</v>
      </c>
      <c r="R83" t="s">
        <v>111</v>
      </c>
      <c r="S83" t="s">
        <v>32</v>
      </c>
      <c r="T83" t="s">
        <v>143</v>
      </c>
      <c r="U83" t="s">
        <v>144</v>
      </c>
      <c r="V83" t="s">
        <v>77</v>
      </c>
      <c r="W83" t="s">
        <v>101</v>
      </c>
      <c r="X83" t="s">
        <v>737</v>
      </c>
      <c r="Y83" t="s">
        <v>54</v>
      </c>
      <c r="Z83" t="s">
        <v>54</v>
      </c>
      <c r="AA83" t="s">
        <v>54</v>
      </c>
      <c r="AB83" t="s">
        <v>54</v>
      </c>
      <c r="AC83" t="s">
        <v>54</v>
      </c>
      <c r="AD83" t="s">
        <v>54</v>
      </c>
    </row>
    <row r="84" spans="1:30" x14ac:dyDescent="0.25">
      <c r="A84">
        <v>83</v>
      </c>
      <c r="B84" t="s">
        <v>731</v>
      </c>
      <c r="C84" t="s">
        <v>738</v>
      </c>
      <c r="D84" t="s">
        <v>739</v>
      </c>
      <c r="E84" t="s">
        <v>740</v>
      </c>
      <c r="F84" t="s">
        <v>741</v>
      </c>
      <c r="G84" t="s">
        <v>742</v>
      </c>
      <c r="H84">
        <v>76864.408644059993</v>
      </c>
      <c r="I84">
        <v>0</v>
      </c>
      <c r="J84">
        <v>76864.408644059993</v>
      </c>
      <c r="K84">
        <v>12711.860000000002</v>
      </c>
      <c r="L84">
        <v>0</v>
      </c>
      <c r="M84">
        <f t="shared" si="5"/>
        <v>90700.002199990791</v>
      </c>
      <c r="N84">
        <f t="shared" si="6"/>
        <v>0</v>
      </c>
      <c r="O84">
        <f t="shared" si="7"/>
        <v>90700.002199990791</v>
      </c>
      <c r="P84">
        <f t="shared" si="8"/>
        <v>14999.994800000002</v>
      </c>
      <c r="Q84">
        <f t="shared" si="9"/>
        <v>0</v>
      </c>
      <c r="R84" t="s">
        <v>98</v>
      </c>
      <c r="S84" t="s">
        <v>32</v>
      </c>
      <c r="T84" t="s">
        <v>112</v>
      </c>
      <c r="U84" t="s">
        <v>166</v>
      </c>
      <c r="V84" t="s">
        <v>77</v>
      </c>
      <c r="W84" t="s">
        <v>101</v>
      </c>
      <c r="X84" t="s">
        <v>743</v>
      </c>
      <c r="Y84" t="s">
        <v>54</v>
      </c>
      <c r="Z84" t="s">
        <v>54</v>
      </c>
      <c r="AA84" t="s">
        <v>739</v>
      </c>
      <c r="AB84" t="s">
        <v>744</v>
      </c>
      <c r="AC84" t="s">
        <v>54</v>
      </c>
      <c r="AD84" t="s">
        <v>54</v>
      </c>
    </row>
    <row r="85" spans="1:30" x14ac:dyDescent="0.25">
      <c r="A85">
        <v>84</v>
      </c>
      <c r="B85" t="s">
        <v>745</v>
      </c>
      <c r="C85" t="s">
        <v>746</v>
      </c>
      <c r="D85" t="s">
        <v>747</v>
      </c>
      <c r="E85" t="s">
        <v>748</v>
      </c>
      <c r="F85" t="s">
        <v>749</v>
      </c>
      <c r="G85" t="s">
        <v>750</v>
      </c>
      <c r="H85">
        <v>77000</v>
      </c>
      <c r="I85">
        <v>4237.29</v>
      </c>
      <c r="J85">
        <v>72762.710000000006</v>
      </c>
      <c r="K85">
        <v>21186.44</v>
      </c>
      <c r="L85">
        <v>0</v>
      </c>
      <c r="M85">
        <f t="shared" si="5"/>
        <v>90860</v>
      </c>
      <c r="N85">
        <f t="shared" si="6"/>
        <v>5000.0021999999999</v>
      </c>
      <c r="O85">
        <f t="shared" si="7"/>
        <v>85859.997799999997</v>
      </c>
      <c r="P85">
        <f t="shared" si="8"/>
        <v>24999.999199999998</v>
      </c>
      <c r="Q85">
        <f t="shared" si="9"/>
        <v>0</v>
      </c>
      <c r="R85" t="s">
        <v>132</v>
      </c>
      <c r="S85" t="s">
        <v>32</v>
      </c>
      <c r="T85" t="s">
        <v>133</v>
      </c>
      <c r="U85" t="s">
        <v>134</v>
      </c>
      <c r="V85" t="s">
        <v>77</v>
      </c>
      <c r="W85" t="s">
        <v>101</v>
      </c>
      <c r="X85" t="s">
        <v>751</v>
      </c>
      <c r="Y85" t="s">
        <v>752</v>
      </c>
      <c r="Z85" t="s">
        <v>54</v>
      </c>
      <c r="AA85" t="s">
        <v>753</v>
      </c>
      <c r="AB85" t="s">
        <v>754</v>
      </c>
      <c r="AC85" t="s">
        <v>54</v>
      </c>
      <c r="AD85" t="s">
        <v>54</v>
      </c>
    </row>
    <row r="86" spans="1:30" x14ac:dyDescent="0.25">
      <c r="A86">
        <v>85</v>
      </c>
      <c r="B86" t="s">
        <v>755</v>
      </c>
      <c r="C86" t="s">
        <v>756</v>
      </c>
      <c r="D86" t="s">
        <v>757</v>
      </c>
      <c r="E86" t="s">
        <v>758</v>
      </c>
      <c r="F86" t="s">
        <v>418</v>
      </c>
      <c r="G86" t="s">
        <v>759</v>
      </c>
      <c r="H86">
        <v>81186.438644059992</v>
      </c>
      <c r="I86">
        <v>8474.58</v>
      </c>
      <c r="J86">
        <v>72711.85864405999</v>
      </c>
      <c r="K86">
        <v>0</v>
      </c>
      <c r="L86">
        <v>0</v>
      </c>
      <c r="M86">
        <f t="shared" si="5"/>
        <v>95799.997599990791</v>
      </c>
      <c r="N86">
        <f t="shared" si="6"/>
        <v>10000.0044</v>
      </c>
      <c r="O86">
        <f t="shared" si="7"/>
        <v>85799.993199990786</v>
      </c>
      <c r="P86">
        <f t="shared" si="8"/>
        <v>0</v>
      </c>
      <c r="Q86">
        <f t="shared" si="9"/>
        <v>0</v>
      </c>
      <c r="R86" t="s">
        <v>98</v>
      </c>
      <c r="S86" t="s">
        <v>32</v>
      </c>
      <c r="T86" t="s">
        <v>112</v>
      </c>
      <c r="U86" t="s">
        <v>113</v>
      </c>
      <c r="V86" t="s">
        <v>35</v>
      </c>
      <c r="W86" t="s">
        <v>101</v>
      </c>
      <c r="X86" t="s">
        <v>760</v>
      </c>
      <c r="Y86" t="s">
        <v>54</v>
      </c>
      <c r="Z86" t="s">
        <v>757</v>
      </c>
      <c r="AA86" t="s">
        <v>757</v>
      </c>
      <c r="AB86" t="s">
        <v>54</v>
      </c>
      <c r="AC86" t="s">
        <v>54</v>
      </c>
      <c r="AD86" t="s">
        <v>54</v>
      </c>
    </row>
    <row r="87" spans="1:30" x14ac:dyDescent="0.25">
      <c r="A87">
        <v>86</v>
      </c>
      <c r="B87" t="s">
        <v>761</v>
      </c>
      <c r="C87" t="s">
        <v>762</v>
      </c>
      <c r="D87" t="s">
        <v>763</v>
      </c>
      <c r="E87" t="s">
        <v>764</v>
      </c>
      <c r="F87" t="s">
        <v>442</v>
      </c>
      <c r="G87" t="s">
        <v>765</v>
      </c>
      <c r="H87">
        <v>74152</v>
      </c>
      <c r="I87">
        <v>8474.58</v>
      </c>
      <c r="J87">
        <v>65677.42</v>
      </c>
      <c r="K87">
        <v>0</v>
      </c>
      <c r="L87">
        <v>0</v>
      </c>
      <c r="M87">
        <f t="shared" si="5"/>
        <v>87499.36</v>
      </c>
      <c r="N87">
        <f t="shared" si="6"/>
        <v>10000.0044</v>
      </c>
      <c r="O87">
        <f t="shared" si="7"/>
        <v>77499.355599999995</v>
      </c>
      <c r="P87">
        <f t="shared" si="8"/>
        <v>0</v>
      </c>
      <c r="Q87">
        <f t="shared" si="9"/>
        <v>0</v>
      </c>
      <c r="R87" t="s">
        <v>132</v>
      </c>
      <c r="S87" t="s">
        <v>32</v>
      </c>
      <c r="T87" t="s">
        <v>133</v>
      </c>
      <c r="U87" t="s">
        <v>175</v>
      </c>
      <c r="V87" t="s">
        <v>35</v>
      </c>
      <c r="W87" t="s">
        <v>101</v>
      </c>
      <c r="X87" t="s">
        <v>135</v>
      </c>
      <c r="Y87" t="s">
        <v>322</v>
      </c>
      <c r="Z87" t="s">
        <v>54</v>
      </c>
      <c r="AA87" t="s">
        <v>766</v>
      </c>
      <c r="AB87" t="s">
        <v>767</v>
      </c>
      <c r="AC87" t="s">
        <v>54</v>
      </c>
      <c r="AD87" t="s">
        <v>54</v>
      </c>
    </row>
    <row r="88" spans="1:30" x14ac:dyDescent="0.25">
      <c r="A88">
        <v>87</v>
      </c>
      <c r="B88" t="s">
        <v>761</v>
      </c>
      <c r="C88" t="s">
        <v>768</v>
      </c>
      <c r="D88" t="s">
        <v>769</v>
      </c>
      <c r="E88" t="s">
        <v>770</v>
      </c>
      <c r="F88" t="s">
        <v>771</v>
      </c>
      <c r="G88" t="s">
        <v>772</v>
      </c>
      <c r="H88">
        <v>72885.084745757427</v>
      </c>
      <c r="I88">
        <v>50840.75</v>
      </c>
      <c r="J88">
        <v>22044.334745757427</v>
      </c>
      <c r="K88">
        <v>0</v>
      </c>
      <c r="L88">
        <v>0</v>
      </c>
      <c r="M88">
        <f t="shared" si="5"/>
        <v>86004.399999993766</v>
      </c>
      <c r="N88">
        <f t="shared" si="6"/>
        <v>59992.084999999999</v>
      </c>
      <c r="O88">
        <f t="shared" si="7"/>
        <v>26012.314999993763</v>
      </c>
      <c r="P88">
        <f t="shared" si="8"/>
        <v>0</v>
      </c>
      <c r="Q88">
        <f t="shared" si="9"/>
        <v>0</v>
      </c>
      <c r="R88" t="s">
        <v>98</v>
      </c>
      <c r="S88" t="s">
        <v>32</v>
      </c>
      <c r="T88" t="s">
        <v>143</v>
      </c>
      <c r="U88" t="s">
        <v>144</v>
      </c>
      <c r="V88" t="s">
        <v>35</v>
      </c>
      <c r="W88" t="s">
        <v>101</v>
      </c>
      <c r="X88" t="s">
        <v>773</v>
      </c>
      <c r="Y88" t="s">
        <v>54</v>
      </c>
      <c r="Z88" t="s">
        <v>54</v>
      </c>
      <c r="AA88" t="s">
        <v>54</v>
      </c>
      <c r="AB88" t="s">
        <v>54</v>
      </c>
      <c r="AC88" t="s">
        <v>54</v>
      </c>
      <c r="AD88" t="s">
        <v>54</v>
      </c>
    </row>
    <row r="89" spans="1:30" x14ac:dyDescent="0.25">
      <c r="A89">
        <v>88</v>
      </c>
      <c r="B89" t="s">
        <v>774</v>
      </c>
      <c r="C89" t="s">
        <v>775</v>
      </c>
      <c r="D89" t="s">
        <v>776</v>
      </c>
      <c r="E89" t="s">
        <v>777</v>
      </c>
      <c r="F89" t="s">
        <v>778</v>
      </c>
      <c r="G89" t="s">
        <v>779</v>
      </c>
      <c r="H89">
        <v>72033.899999999994</v>
      </c>
      <c r="I89">
        <v>8474.58</v>
      </c>
      <c r="J89">
        <v>63559.319999999992</v>
      </c>
      <c r="K89">
        <v>0</v>
      </c>
      <c r="L89">
        <v>0</v>
      </c>
      <c r="M89">
        <f t="shared" si="5"/>
        <v>85000.001999999993</v>
      </c>
      <c r="N89">
        <f t="shared" si="6"/>
        <v>10000.0044</v>
      </c>
      <c r="O89">
        <f t="shared" si="7"/>
        <v>74999.997599999988</v>
      </c>
      <c r="P89">
        <f t="shared" si="8"/>
        <v>0</v>
      </c>
      <c r="Q89">
        <f t="shared" si="9"/>
        <v>0</v>
      </c>
      <c r="R89" t="s">
        <v>132</v>
      </c>
      <c r="S89" t="s">
        <v>32</v>
      </c>
      <c r="T89" t="s">
        <v>133</v>
      </c>
      <c r="U89" t="s">
        <v>134</v>
      </c>
      <c r="V89" t="s">
        <v>77</v>
      </c>
      <c r="W89" t="s">
        <v>101</v>
      </c>
      <c r="X89" t="s">
        <v>780</v>
      </c>
      <c r="Y89" t="s">
        <v>322</v>
      </c>
      <c r="Z89" t="s">
        <v>54</v>
      </c>
      <c r="AA89" t="s">
        <v>781</v>
      </c>
      <c r="AB89" t="s">
        <v>782</v>
      </c>
      <c r="AC89" t="s">
        <v>54</v>
      </c>
      <c r="AD89" t="s">
        <v>54</v>
      </c>
    </row>
    <row r="90" spans="1:30" x14ac:dyDescent="0.25">
      <c r="A90">
        <v>89</v>
      </c>
      <c r="B90" t="s">
        <v>783</v>
      </c>
      <c r="C90" t="s">
        <v>784</v>
      </c>
      <c r="D90" t="s">
        <v>785</v>
      </c>
      <c r="E90" t="s">
        <v>786</v>
      </c>
      <c r="F90" t="s">
        <v>787</v>
      </c>
      <c r="G90" t="s">
        <v>788</v>
      </c>
      <c r="H90">
        <v>77000</v>
      </c>
      <c r="I90">
        <v>0</v>
      </c>
      <c r="J90">
        <v>77000</v>
      </c>
      <c r="K90">
        <v>25423.730000000003</v>
      </c>
      <c r="L90">
        <v>0</v>
      </c>
      <c r="M90">
        <f t="shared" si="5"/>
        <v>90860</v>
      </c>
      <c r="N90">
        <f t="shared" si="6"/>
        <v>0</v>
      </c>
      <c r="O90">
        <f t="shared" si="7"/>
        <v>90860</v>
      </c>
      <c r="P90">
        <f t="shared" si="8"/>
        <v>30000.001400000001</v>
      </c>
      <c r="Q90">
        <f t="shared" si="9"/>
        <v>0</v>
      </c>
      <c r="R90" t="s">
        <v>132</v>
      </c>
      <c r="S90" t="s">
        <v>32</v>
      </c>
      <c r="T90" t="s">
        <v>133</v>
      </c>
      <c r="U90" t="s">
        <v>175</v>
      </c>
      <c r="V90" t="s">
        <v>35</v>
      </c>
      <c r="W90" t="s">
        <v>101</v>
      </c>
      <c r="X90" t="s">
        <v>789</v>
      </c>
      <c r="Y90" t="s">
        <v>54</v>
      </c>
      <c r="Z90" t="s">
        <v>54</v>
      </c>
      <c r="AA90" t="s">
        <v>54</v>
      </c>
      <c r="AB90" t="s">
        <v>790</v>
      </c>
      <c r="AC90" t="s">
        <v>54</v>
      </c>
      <c r="AD90" t="s">
        <v>54</v>
      </c>
    </row>
    <row r="91" spans="1:30" x14ac:dyDescent="0.25">
      <c r="A91">
        <v>90</v>
      </c>
      <c r="B91" t="s">
        <v>783</v>
      </c>
      <c r="C91" t="s">
        <v>791</v>
      </c>
      <c r="D91" t="s">
        <v>792</v>
      </c>
      <c r="E91" t="s">
        <v>793</v>
      </c>
      <c r="F91" t="s">
        <v>794</v>
      </c>
      <c r="G91" t="s">
        <v>795</v>
      </c>
      <c r="H91">
        <v>76271.97</v>
      </c>
      <c r="I91">
        <v>0</v>
      </c>
      <c r="J91">
        <v>76271.97</v>
      </c>
      <c r="K91">
        <v>4237.29</v>
      </c>
      <c r="L91">
        <v>0</v>
      </c>
      <c r="M91">
        <f t="shared" si="5"/>
        <v>90000.924599999998</v>
      </c>
      <c r="N91">
        <f t="shared" si="6"/>
        <v>0</v>
      </c>
      <c r="O91">
        <f t="shared" si="7"/>
        <v>90000.924599999998</v>
      </c>
      <c r="P91">
        <f t="shared" si="8"/>
        <v>5000.0021999999999</v>
      </c>
      <c r="Q91">
        <f t="shared" si="9"/>
        <v>0</v>
      </c>
      <c r="R91" t="s">
        <v>111</v>
      </c>
      <c r="S91" t="s">
        <v>32</v>
      </c>
      <c r="T91" t="s">
        <v>112</v>
      </c>
      <c r="U91" t="s">
        <v>166</v>
      </c>
      <c r="V91" t="s">
        <v>35</v>
      </c>
      <c r="W91" t="s">
        <v>101</v>
      </c>
      <c r="X91" t="s">
        <v>796</v>
      </c>
      <c r="Y91" t="s">
        <v>54</v>
      </c>
      <c r="Z91" t="s">
        <v>54</v>
      </c>
      <c r="AA91" t="s">
        <v>54</v>
      </c>
      <c r="AB91" t="s">
        <v>54</v>
      </c>
      <c r="AC91" t="s">
        <v>54</v>
      </c>
      <c r="AD91" t="s">
        <v>54</v>
      </c>
    </row>
    <row r="92" spans="1:30" x14ac:dyDescent="0.25">
      <c r="A92">
        <v>91</v>
      </c>
      <c r="B92" t="s">
        <v>797</v>
      </c>
      <c r="C92" t="s">
        <v>798</v>
      </c>
      <c r="D92" t="s">
        <v>799</v>
      </c>
      <c r="E92" t="s">
        <v>800</v>
      </c>
      <c r="F92" t="s">
        <v>801</v>
      </c>
      <c r="G92" t="s">
        <v>802</v>
      </c>
      <c r="H92">
        <v>76271.19</v>
      </c>
      <c r="I92">
        <v>25423.73</v>
      </c>
      <c r="J92">
        <v>50847.460000000006</v>
      </c>
      <c r="K92">
        <v>0</v>
      </c>
      <c r="L92">
        <v>0</v>
      </c>
      <c r="M92">
        <f t="shared" si="5"/>
        <v>90000.004199999996</v>
      </c>
      <c r="N92">
        <f t="shared" si="6"/>
        <v>30000.001399999997</v>
      </c>
      <c r="O92">
        <f t="shared" si="7"/>
        <v>60000.002800000002</v>
      </c>
      <c r="P92">
        <f t="shared" si="8"/>
        <v>0</v>
      </c>
      <c r="Q92">
        <f t="shared" si="9"/>
        <v>0</v>
      </c>
      <c r="R92" t="s">
        <v>132</v>
      </c>
      <c r="S92" t="s">
        <v>32</v>
      </c>
      <c r="T92" t="s">
        <v>133</v>
      </c>
      <c r="U92" t="s">
        <v>134</v>
      </c>
      <c r="V92" t="s">
        <v>35</v>
      </c>
      <c r="W92" t="s">
        <v>101</v>
      </c>
      <c r="X92" t="s">
        <v>803</v>
      </c>
      <c r="Y92" t="s">
        <v>752</v>
      </c>
      <c r="Z92" t="s">
        <v>54</v>
      </c>
      <c r="AA92" t="s">
        <v>804</v>
      </c>
      <c r="AB92" t="s">
        <v>805</v>
      </c>
      <c r="AC92" t="s">
        <v>54</v>
      </c>
      <c r="AD92" t="s">
        <v>54</v>
      </c>
    </row>
  </sheetData>
  <pageMargins left="0.7" right="0.7" top="0.75" bottom="0.75" header="0.3" footer="0.3"/>
  <ignoredErrors>
    <ignoredError sqref="R1:AD92 A1:L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PATHFINDER</cp:lastModifiedBy>
  <dcterms:modified xsi:type="dcterms:W3CDTF">2026-02-24T06:34:22Z</dcterms:modified>
</cp:coreProperties>
</file>