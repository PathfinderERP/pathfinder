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HFINDER\Desktop\"/>
    </mc:Choice>
  </mc:AlternateContent>
  <bookViews>
    <workbookView xWindow="0" yWindow="0" windowWidth="20490" windowHeight="7650"/>
  </bookViews>
  <sheets>
    <sheet name="data" sheetId="1" r:id="rId1"/>
  </sheets>
  <calcPr calcId="162913"/>
</workbook>
</file>

<file path=xl/calcChain.xml><?xml version="1.0" encoding="utf-8"?>
<calcChain xmlns="http://schemas.openxmlformats.org/spreadsheetml/2006/main">
  <c r="O4" i="1" l="1"/>
  <c r="Q3" i="1"/>
  <c r="Q4" i="1"/>
  <c r="Q2" i="1"/>
  <c r="P3" i="1"/>
  <c r="P4" i="1"/>
  <c r="P2" i="1"/>
  <c r="O3" i="1"/>
  <c r="O2" i="1"/>
  <c r="N3" i="1"/>
  <c r="N4" i="1"/>
  <c r="N2" i="1"/>
  <c r="M3" i="1"/>
  <c r="M4" i="1"/>
  <c r="M2" i="1"/>
</calcChain>
</file>

<file path=xl/sharedStrings.xml><?xml version="1.0" encoding="utf-8"?>
<sst xmlns="http://schemas.openxmlformats.org/spreadsheetml/2006/main" count="87" uniqueCount="65">
  <si>
    <t>Sr No.</t>
  </si>
  <si>
    <t>Admission Date</t>
  </si>
  <si>
    <t>Enroll No</t>
  </si>
  <si>
    <t>Phone</t>
  </si>
  <si>
    <t>email</t>
  </si>
  <si>
    <t>dob</t>
  </si>
  <si>
    <t>Student Name</t>
  </si>
  <si>
    <t>Commited Amount</t>
  </si>
  <si>
    <t>Admission Amount</t>
  </si>
  <si>
    <t>Installment Amount</t>
  </si>
  <si>
    <t>Total Amount Paid Till Date</t>
  </si>
  <si>
    <t>Total Due as on Date</t>
  </si>
  <si>
    <t>Course Name</t>
  </si>
  <si>
    <t>Session</t>
  </si>
  <si>
    <t>Centre</t>
  </si>
  <si>
    <t>Admitted By</t>
  </si>
  <si>
    <t>Gender</t>
  </si>
  <si>
    <t>Board</t>
  </si>
  <si>
    <t>School</t>
  </si>
  <si>
    <t>Pincode</t>
  </si>
  <si>
    <t>Guardians Email Address</t>
  </si>
  <si>
    <t>Guardians Mobile Number</t>
  </si>
  <si>
    <t>Guardians Name</t>
  </si>
  <si>
    <t>Guardians Occupation</t>
  </si>
  <si>
    <t>Guardians Qualification</t>
  </si>
  <si>
    <t>2/6/2025</t>
  </si>
  <si>
    <t>PATH25002623</t>
  </si>
  <si>
    <t>9932527794</t>
  </si>
  <si>
    <t>SAYAN12345@GMAIL.COM</t>
  </si>
  <si>
    <t>2010-10-04</t>
  </si>
  <si>
    <t>SAYAN DUARY</t>
  </si>
  <si>
    <t>JEE MAINS &amp; ADVANCED+WBJEE 2Years 2027-2029</t>
  </si>
  <si>
    <t>2027-2029</t>
  </si>
  <si>
    <t>MIDNAPORE</t>
  </si>
  <si>
    <t>TAPOJOY GUCHHAIT CI</t>
  </si>
  <si>
    <t>Male</t>
  </si>
  <si>
    <t>ISC</t>
  </si>
  <si>
    <t>VSN MIDNAPORE</t>
  </si>
  <si>
    <t>721126</t>
  </si>
  <si>
    <t>9679925858</t>
  </si>
  <si>
    <t>MR. BARUN DUARY</t>
  </si>
  <si>
    <t>Service</t>
  </si>
  <si>
    <t>3</t>
  </si>
  <si>
    <t>14/12/2025</t>
  </si>
  <si>
    <t>PATH25021338</t>
  </si>
  <si>
    <t>7585078308</t>
  </si>
  <si>
    <t>subarnaoraw26@gmail.com</t>
  </si>
  <si>
    <t>2010-09-25</t>
  </si>
  <si>
    <t>SUBARNA ORAW</t>
  </si>
  <si>
    <t>TAAT WITH HS Board (JEE) 27-29</t>
  </si>
  <si>
    <t>BALURGHAT</t>
  </si>
  <si>
    <t>Balurghat Pathfinder CI</t>
  </si>
  <si>
    <t>WB</t>
  </si>
  <si>
    <t/>
  </si>
  <si>
    <t>6/1/2026</t>
  </si>
  <si>
    <t>PATH24001412</t>
  </si>
  <si>
    <t>8777369701</t>
  </si>
  <si>
    <t>nchalderpink@gmail.com</t>
  </si>
  <si>
    <t>2010-11-17</t>
  </si>
  <si>
    <t>ARCHAN HALDER</t>
  </si>
  <si>
    <t>Taat with HS Board NEET/JEE 27-29</t>
  </si>
  <si>
    <t>BALLY</t>
  </si>
  <si>
    <t>MANAS RAY CI</t>
  </si>
  <si>
    <t>MAHESH RKM</t>
  </si>
  <si>
    <t>NARAYAN CHANDRA HALDER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</si>
</sst>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I1" workbookViewId="0">
      <selection activeCell="K8" sqref="K8"/>
    </sheetView>
  </sheetViews>
  <sheetFormatPr defaultRowHeight="15.75" x14ac:dyDescent="0.25"/>
  <cols>
    <col min="1" max="1" width="5.625" bestFit="1" customWidth="1"/>
    <col min="2" max="2" width="13.75" bestFit="1" customWidth="1"/>
    <col min="3" max="3" width="13.375" bestFit="1" customWidth="1"/>
    <col min="4" max="4" width="10.875" bestFit="1" customWidth="1"/>
    <col min="5" max="5" width="23.875" bestFit="1" customWidth="1"/>
    <col min="6" max="6" width="10.125" bestFit="1" customWidth="1"/>
    <col min="7" max="7" width="15.125" bestFit="1" customWidth="1"/>
    <col min="8" max="8" width="16" bestFit="1" customWidth="1"/>
    <col min="9" max="9" width="16.125" bestFit="1" customWidth="1"/>
    <col min="10" max="10" width="16.875" bestFit="1" customWidth="1"/>
    <col min="11" max="11" width="23.5" bestFit="1" customWidth="1"/>
    <col min="12" max="12" width="18.25" bestFit="1" customWidth="1"/>
    <col min="13" max="13" width="16" bestFit="1" customWidth="1"/>
    <col min="14" max="14" width="16.125" bestFit="1" customWidth="1"/>
    <col min="15" max="15" width="16.875" bestFit="1" customWidth="1"/>
    <col min="16" max="16" width="23.5" bestFit="1" customWidth="1"/>
    <col min="17" max="17" width="18.25" customWidth="1"/>
    <col min="18" max="18" width="43.625" bestFit="1" customWidth="1"/>
    <col min="19" max="19" width="9.5" bestFit="1" customWidth="1"/>
    <col min="20" max="20" width="11.125" bestFit="1" customWidth="1"/>
    <col min="21" max="21" width="20" bestFit="1" customWidth="1"/>
    <col min="22" max="22" width="6.75" bestFit="1" customWidth="1"/>
    <col min="23" max="23" width="5.625" bestFit="1" customWidth="1"/>
    <col min="24" max="24" width="15" bestFit="1" customWidth="1"/>
    <col min="25" max="25" width="7.25" bestFit="1" customWidth="1"/>
    <col min="26" max="26" width="21.5" bestFit="1" customWidth="1"/>
    <col min="27" max="27" width="22.5" bestFit="1" customWidth="1"/>
    <col min="28" max="28" width="25.125" bestFit="1" customWidth="1"/>
    <col min="29" max="29" width="19.125" bestFit="1" customWidth="1"/>
    <col min="30" max="30" width="20.3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</row>
    <row r="2" spans="1:30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98728.810339999996</v>
      </c>
      <c r="I2">
        <v>0</v>
      </c>
      <c r="J2">
        <v>98728.810339999996</v>
      </c>
      <c r="K2">
        <v>4237.29</v>
      </c>
      <c r="L2">
        <v>28671.61</v>
      </c>
      <c r="M2">
        <f>H2*1.18</f>
        <v>116499.99620119999</v>
      </c>
      <c r="N2">
        <f>I2*1.18</f>
        <v>0</v>
      </c>
      <c r="O2">
        <f>J2*1.18</f>
        <v>116499.99620119999</v>
      </c>
      <c r="P2">
        <f>K2*1.18</f>
        <v>5000.0021999999999</v>
      </c>
      <c r="Q2">
        <f>L2*1.18</f>
        <v>33832.499799999998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39</v>
      </c>
      <c r="AB2" t="s">
        <v>40</v>
      </c>
      <c r="AC2" t="s">
        <v>41</v>
      </c>
      <c r="AD2" t="s">
        <v>42</v>
      </c>
    </row>
    <row r="3" spans="1:30" x14ac:dyDescent="0.25">
      <c r="A3">
        <v>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>
        <v>127500.9</v>
      </c>
      <c r="I3">
        <v>12711.86</v>
      </c>
      <c r="J3">
        <v>114789.04</v>
      </c>
      <c r="K3">
        <v>0</v>
      </c>
      <c r="L3">
        <v>16350.760000000002</v>
      </c>
      <c r="M3">
        <f t="shared" ref="M3:M4" si="0">H3*1.18</f>
        <v>150451.06199999998</v>
      </c>
      <c r="N3">
        <f t="shared" ref="N3:N4" si="1">I3*1.18</f>
        <v>14999.9948</v>
      </c>
      <c r="O3">
        <f t="shared" ref="O3" si="2">J3*1.18</f>
        <v>135451.06719999999</v>
      </c>
      <c r="P3">
        <f t="shared" ref="P3:P4" si="3">K3*1.18</f>
        <v>0</v>
      </c>
      <c r="Q3">
        <f t="shared" ref="Q3:Q4" si="4">L3*1.18</f>
        <v>19293.896800000002</v>
      </c>
      <c r="R3" t="s">
        <v>49</v>
      </c>
      <c r="S3" t="s">
        <v>32</v>
      </c>
      <c r="T3" t="s">
        <v>50</v>
      </c>
      <c r="U3" t="s">
        <v>51</v>
      </c>
      <c r="V3" t="s">
        <v>35</v>
      </c>
      <c r="W3" t="s">
        <v>52</v>
      </c>
      <c r="X3" t="s">
        <v>53</v>
      </c>
      <c r="Y3" t="s">
        <v>53</v>
      </c>
      <c r="Z3" t="s">
        <v>53</v>
      </c>
      <c r="AA3" t="s">
        <v>53</v>
      </c>
      <c r="AB3" t="s">
        <v>53</v>
      </c>
      <c r="AC3" t="s">
        <v>53</v>
      </c>
      <c r="AD3" t="s">
        <v>53</v>
      </c>
    </row>
    <row r="4" spans="1:30" x14ac:dyDescent="0.25">
      <c r="A4">
        <v>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>
        <v>127118.6441</v>
      </c>
      <c r="I4">
        <v>169490.15</v>
      </c>
      <c r="J4">
        <v>42371.505899999902</v>
      </c>
      <c r="K4">
        <v>0</v>
      </c>
      <c r="L4">
        <v>7343.8499999999985</v>
      </c>
      <c r="M4">
        <f t="shared" si="0"/>
        <v>150000.000038</v>
      </c>
      <c r="N4">
        <f t="shared" si="1"/>
        <v>199998.37699999998</v>
      </c>
      <c r="O4">
        <f>J4*1.18</f>
        <v>49998.376961999878</v>
      </c>
      <c r="P4">
        <f t="shared" si="3"/>
        <v>0</v>
      </c>
      <c r="Q4">
        <f t="shared" si="4"/>
        <v>8665.7429999999986</v>
      </c>
      <c r="R4" t="s">
        <v>60</v>
      </c>
      <c r="S4" t="s">
        <v>32</v>
      </c>
      <c r="T4" t="s">
        <v>61</v>
      </c>
      <c r="U4" t="s">
        <v>62</v>
      </c>
      <c r="V4" t="s">
        <v>35</v>
      </c>
      <c r="W4" t="s">
        <v>52</v>
      </c>
      <c r="X4" t="s">
        <v>63</v>
      </c>
      <c r="Y4" t="s">
        <v>53</v>
      </c>
      <c r="Z4" t="s">
        <v>53</v>
      </c>
      <c r="AA4" t="s">
        <v>53</v>
      </c>
      <c r="AB4" t="s">
        <v>64</v>
      </c>
      <c r="AC4" t="s">
        <v>53</v>
      </c>
      <c r="AD4" t="s">
        <v>53</v>
      </c>
    </row>
  </sheetData>
  <pageMargins left="0.7" right="0.7" top="0.75" bottom="0.75" header="0.3" footer="0.3"/>
  <ignoredErrors>
    <ignoredError sqref="R1:AD4 A1:L3 A4:I4 K4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PATHFINDER</cp:lastModifiedBy>
  <dcterms:modified xsi:type="dcterms:W3CDTF">2026-02-24T06:34:12Z</dcterms:modified>
</cp:coreProperties>
</file>